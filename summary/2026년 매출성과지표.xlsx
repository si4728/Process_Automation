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de99154f288966/WSP 공유폴더/매입^J매출및 실적/월별^J연도별 실적/"/>
    </mc:Choice>
  </mc:AlternateContent>
  <xr:revisionPtr revIDLastSave="9538" documentId="14_{2A494A00-8D91-49CB-B04B-9D17B76E4A56}" xr6:coauthVersionLast="47" xr6:coauthVersionMax="47" xr10:uidLastSave="{4E0D73E9-C042-4018-8FC1-8590EBEE5998}"/>
  <bookViews>
    <workbookView xWindow="-120" yWindow="-120" windowWidth="29040" windowHeight="15840" xr2:uid="{AE964D01-7C0F-4D80-9974-D52562258CCF}"/>
  </bookViews>
  <sheets>
    <sheet name="매출성과표" sheetId="1" r:id="rId1"/>
    <sheet name="월별출고수량" sheetId="16" r:id="rId2"/>
    <sheet name="1월" sheetId="2" r:id="rId3"/>
    <sheet name="2월" sheetId="4" r:id="rId4"/>
    <sheet name="3월" sheetId="5" r:id="rId5"/>
    <sheet name="4월" sheetId="6" r:id="rId6"/>
    <sheet name="5월" sheetId="7" r:id="rId7"/>
    <sheet name="6월" sheetId="8" r:id="rId8"/>
    <sheet name="7월" sheetId="9" r:id="rId9"/>
    <sheet name="8월" sheetId="10" r:id="rId10"/>
    <sheet name="9월" sheetId="11" r:id="rId11"/>
    <sheet name="10월" sheetId="12" r:id="rId12"/>
    <sheet name="11월" sheetId="13" r:id="rId13"/>
    <sheet name="12월" sheetId="14" r:id="rId14"/>
  </sheets>
  <definedNames>
    <definedName name="_xlnm.Print_Area" localSheetId="11">'10월'!$I$1:$O$45</definedName>
    <definedName name="_xlnm.Print_Area" localSheetId="12">'11월'!$I$1:$O$47</definedName>
    <definedName name="_xlnm.Print_Area" localSheetId="13">'12월'!$I$1:$O$46</definedName>
    <definedName name="_xlnm.Print_Area" localSheetId="2">'1월'!$I$2:$O$48</definedName>
    <definedName name="_xlnm.Print_Area" localSheetId="3">'2월'!$I$1:$O$46</definedName>
    <definedName name="_xlnm.Print_Area" localSheetId="4">'3월'!$I$1:$O$46</definedName>
    <definedName name="_xlnm.Print_Area" localSheetId="5">'4월'!$I$1:$O$46</definedName>
    <definedName name="_xlnm.Print_Area" localSheetId="6">'5월'!$I$1:$O$46</definedName>
    <definedName name="_xlnm.Print_Area" localSheetId="7">'6월'!$I$1:$O$48</definedName>
    <definedName name="_xlnm.Print_Area" localSheetId="8">'7월'!$I$1:$O$46</definedName>
    <definedName name="_xlnm.Print_Area" localSheetId="9">'8월'!$I$1:$O$46</definedName>
    <definedName name="_xlnm.Print_Area" localSheetId="10">'9월'!$I$1:$O$46</definedName>
    <definedName name="_xlnm.Print_Area" localSheetId="0">매출성과표!$B$1:$S$34</definedName>
    <definedName name="_xlnm.Print_Area" localSheetId="1">월별출고수량!$A$1:$P$42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4" l="1"/>
  <c r="N5" i="2" a="1"/>
  <c r="N5" i="2" s="1"/>
  <c r="Q29" i="1" l="1"/>
  <c r="P29" i="1"/>
  <c r="O29" i="1"/>
  <c r="N29" i="1"/>
  <c r="M29" i="1"/>
  <c r="L29" i="1"/>
  <c r="K29" i="1"/>
  <c r="J29" i="1"/>
  <c r="I29" i="1"/>
  <c r="H29" i="1"/>
  <c r="G29" i="1"/>
  <c r="K18" i="16"/>
  <c r="K33" i="16" s="1"/>
  <c r="J18" i="16"/>
  <c r="J33" i="16" s="1"/>
  <c r="I18" i="16"/>
  <c r="I33" i="16" s="1"/>
  <c r="H18" i="16"/>
  <c r="H33" i="16" s="1"/>
  <c r="G18" i="16"/>
  <c r="G33" i="16" s="1"/>
  <c r="F18" i="16"/>
  <c r="F33" i="16" s="1"/>
  <c r="E18" i="16"/>
  <c r="E33" i="16" s="1"/>
  <c r="D18" i="16"/>
  <c r="D33" i="16" s="1"/>
  <c r="Q32" i="1"/>
  <c r="Q31" i="1"/>
  <c r="Q30" i="1"/>
  <c r="Q28" i="1"/>
  <c r="Q27" i="1"/>
  <c r="N11" i="14" a="1"/>
  <c r="N11" i="14" s="1"/>
  <c r="Q26" i="1" s="1"/>
  <c r="M11" i="14" a="1"/>
  <c r="M11" i="14" s="1"/>
  <c r="Q25" i="1" s="1"/>
  <c r="L11" i="14" a="1"/>
  <c r="L11" i="14" s="1"/>
  <c r="Q24" i="1" s="1"/>
  <c r="N10" i="14" a="1"/>
  <c r="N10" i="14" s="1"/>
  <c r="Q23" i="1" s="1"/>
  <c r="M10" i="14" a="1"/>
  <c r="M10" i="14" s="1"/>
  <c r="Q22" i="1" s="1"/>
  <c r="L10" i="14" a="1"/>
  <c r="L10" i="14" s="1"/>
  <c r="Q21" i="1" s="1"/>
  <c r="N9" i="14" a="1"/>
  <c r="N9" i="14" s="1"/>
  <c r="Q20" i="1" s="1"/>
  <c r="M9" i="14" a="1"/>
  <c r="M9" i="14" s="1"/>
  <c r="Q19" i="1" s="1"/>
  <c r="L9" i="14" a="1"/>
  <c r="L9" i="14" s="1"/>
  <c r="Q18" i="1" s="1"/>
  <c r="N8" i="14" a="1"/>
  <c r="N8" i="14" s="1"/>
  <c r="Q17" i="1" s="1"/>
  <c r="M8" i="14" a="1"/>
  <c r="M8" i="14" s="1"/>
  <c r="Q16" i="1" s="1"/>
  <c r="L8" i="14" a="1"/>
  <c r="L8" i="14" s="1"/>
  <c r="Q15" i="1" s="1"/>
  <c r="N7" i="14" a="1"/>
  <c r="N7" i="14" s="1"/>
  <c r="Q14" i="1" s="1"/>
  <c r="M7" i="14" a="1"/>
  <c r="M7" i="14" s="1"/>
  <c r="Q13" i="1" s="1"/>
  <c r="L7" i="14" a="1"/>
  <c r="L7" i="14" s="1"/>
  <c r="Q12" i="1" s="1"/>
  <c r="N6" i="14" a="1"/>
  <c r="N6" i="14" s="1"/>
  <c r="Q11" i="1" s="1"/>
  <c r="M6" i="14" a="1"/>
  <c r="M6" i="14" s="1"/>
  <c r="Q10" i="1" s="1"/>
  <c r="L6" i="14" a="1"/>
  <c r="L6" i="14" s="1"/>
  <c r="Q9" i="1" s="1"/>
  <c r="N5" i="14" a="1"/>
  <c r="N5" i="14" s="1"/>
  <c r="Q8" i="1" s="1"/>
  <c r="M5" i="14" a="1"/>
  <c r="M5" i="14" s="1"/>
  <c r="Q7" i="1" s="1"/>
  <c r="L5" i="14" a="1"/>
  <c r="L5" i="14" s="1"/>
  <c r="Q6" i="1" s="1"/>
  <c r="N4" i="14" a="1"/>
  <c r="N4" i="14" s="1"/>
  <c r="Q5" i="1" s="1"/>
  <c r="M4" i="14" a="1"/>
  <c r="M4" i="14" s="1"/>
  <c r="L4" i="14" a="1"/>
  <c r="L4" i="14" s="1"/>
  <c r="Q3" i="1" s="1"/>
  <c r="P32" i="1"/>
  <c r="P31" i="1"/>
  <c r="P30" i="1"/>
  <c r="P28" i="1"/>
  <c r="P27" i="1"/>
  <c r="N11" i="13" a="1"/>
  <c r="N11" i="13" s="1"/>
  <c r="P26" i="1" s="1"/>
  <c r="M11" i="13" a="1"/>
  <c r="M11" i="13" s="1"/>
  <c r="P25" i="1" s="1"/>
  <c r="L11" i="13" a="1"/>
  <c r="L11" i="13" s="1"/>
  <c r="P24" i="1" s="1"/>
  <c r="N10" i="13" a="1"/>
  <c r="N10" i="13" s="1"/>
  <c r="P23" i="1" s="1"/>
  <c r="M10" i="13" a="1"/>
  <c r="M10" i="13" s="1"/>
  <c r="P22" i="1" s="1"/>
  <c r="L10" i="13" a="1"/>
  <c r="L10" i="13" s="1"/>
  <c r="P21" i="1" s="1"/>
  <c r="N9" i="13" a="1"/>
  <c r="N9" i="13" s="1"/>
  <c r="P20" i="1" s="1"/>
  <c r="M9" i="13" a="1"/>
  <c r="M9" i="13" s="1"/>
  <c r="P19" i="1" s="1"/>
  <c r="L9" i="13" a="1"/>
  <c r="L9" i="13" s="1"/>
  <c r="P18" i="1" s="1"/>
  <c r="N8" i="13" a="1"/>
  <c r="N8" i="13" s="1"/>
  <c r="P17" i="1" s="1"/>
  <c r="M8" i="13" a="1"/>
  <c r="M8" i="13" s="1"/>
  <c r="P16" i="1" s="1"/>
  <c r="L8" i="13" a="1"/>
  <c r="L8" i="13" s="1"/>
  <c r="P15" i="1" s="1"/>
  <c r="N7" i="13" a="1"/>
  <c r="N7" i="13" s="1"/>
  <c r="P14" i="1" s="1"/>
  <c r="M7" i="13" a="1"/>
  <c r="M7" i="13" s="1"/>
  <c r="P13" i="1" s="1"/>
  <c r="L7" i="13" a="1"/>
  <c r="L7" i="13" s="1"/>
  <c r="P12" i="1" s="1"/>
  <c r="N6" i="13" a="1"/>
  <c r="N6" i="13" s="1"/>
  <c r="P11" i="1" s="1"/>
  <c r="M6" i="13" a="1"/>
  <c r="M6" i="13" s="1"/>
  <c r="P10" i="1" s="1"/>
  <c r="L6" i="13" a="1"/>
  <c r="L6" i="13" s="1"/>
  <c r="P9" i="1" s="1"/>
  <c r="N5" i="13" a="1"/>
  <c r="N5" i="13" s="1"/>
  <c r="P8" i="1" s="1"/>
  <c r="M5" i="13" a="1"/>
  <c r="M5" i="13" s="1"/>
  <c r="P7" i="1" s="1"/>
  <c r="L5" i="13" a="1"/>
  <c r="L5" i="13" s="1"/>
  <c r="P6" i="1" s="1"/>
  <c r="N4" i="13" a="1"/>
  <c r="N4" i="13" s="1"/>
  <c r="M4" i="13" a="1"/>
  <c r="M4" i="13" s="1"/>
  <c r="P4" i="1" s="1"/>
  <c r="L4" i="13" a="1"/>
  <c r="L4" i="13" s="1"/>
  <c r="O32" i="1"/>
  <c r="O31" i="1"/>
  <c r="O30" i="1"/>
  <c r="O28" i="1"/>
  <c r="O27" i="1"/>
  <c r="N11" i="12" a="1"/>
  <c r="N11" i="12" s="1"/>
  <c r="O26" i="1" s="1"/>
  <c r="M11" i="12" a="1"/>
  <c r="M11" i="12" s="1"/>
  <c r="O25" i="1" s="1"/>
  <c r="L11" i="12" a="1"/>
  <c r="L11" i="12" s="1"/>
  <c r="O24" i="1" s="1"/>
  <c r="N10" i="12" a="1"/>
  <c r="N10" i="12" s="1"/>
  <c r="O23" i="1" s="1"/>
  <c r="M10" i="12" a="1"/>
  <c r="M10" i="12" s="1"/>
  <c r="O22" i="1" s="1"/>
  <c r="L10" i="12" a="1"/>
  <c r="L10" i="12" s="1"/>
  <c r="O21" i="1" s="1"/>
  <c r="N9" i="12" a="1"/>
  <c r="N9" i="12" s="1"/>
  <c r="O20" i="1" s="1"/>
  <c r="M9" i="12" a="1"/>
  <c r="M9" i="12" s="1"/>
  <c r="O19" i="1" s="1"/>
  <c r="L9" i="12" a="1"/>
  <c r="L9" i="12" s="1"/>
  <c r="O18" i="1" s="1"/>
  <c r="N8" i="12" a="1"/>
  <c r="N8" i="12" s="1"/>
  <c r="O17" i="1" s="1"/>
  <c r="M8" i="12" a="1"/>
  <c r="M8" i="12" s="1"/>
  <c r="O16" i="1" s="1"/>
  <c r="L8" i="12" a="1"/>
  <c r="L8" i="12" s="1"/>
  <c r="O15" i="1" s="1"/>
  <c r="N7" i="12" a="1"/>
  <c r="N7" i="12" s="1"/>
  <c r="O14" i="1" s="1"/>
  <c r="M7" i="12" a="1"/>
  <c r="M7" i="12" s="1"/>
  <c r="O13" i="1" s="1"/>
  <c r="L7" i="12" a="1"/>
  <c r="L7" i="12" s="1"/>
  <c r="O12" i="1" s="1"/>
  <c r="N6" i="12" a="1"/>
  <c r="N6" i="12" s="1"/>
  <c r="O11" i="1" s="1"/>
  <c r="M6" i="12" a="1"/>
  <c r="M6" i="12" s="1"/>
  <c r="O10" i="1" s="1"/>
  <c r="L6" i="12" a="1"/>
  <c r="L6" i="12" s="1"/>
  <c r="O9" i="1" s="1"/>
  <c r="N5" i="12" a="1"/>
  <c r="N5" i="12" s="1"/>
  <c r="O8" i="1" s="1"/>
  <c r="M5" i="12" a="1"/>
  <c r="M5" i="12" s="1"/>
  <c r="O7" i="1" s="1"/>
  <c r="L5" i="12" a="1"/>
  <c r="L5" i="12" s="1"/>
  <c r="O6" i="1" s="1"/>
  <c r="N4" i="12" a="1"/>
  <c r="N4" i="12" s="1"/>
  <c r="M4" i="12" a="1"/>
  <c r="M4" i="12" s="1"/>
  <c r="L4" i="12" a="1"/>
  <c r="L4" i="12" s="1"/>
  <c r="N32" i="1"/>
  <c r="N31" i="1"/>
  <c r="N30" i="1"/>
  <c r="N28" i="1"/>
  <c r="N27" i="1"/>
  <c r="N11" i="11" a="1"/>
  <c r="N11" i="11" s="1"/>
  <c r="N26" i="1" s="1"/>
  <c r="M11" i="11" a="1"/>
  <c r="M11" i="11" s="1"/>
  <c r="N25" i="1" s="1"/>
  <c r="L11" i="11" a="1"/>
  <c r="L11" i="11" s="1"/>
  <c r="N24" i="1" s="1"/>
  <c r="N10" i="11" a="1"/>
  <c r="N10" i="11" s="1"/>
  <c r="N23" i="1" s="1"/>
  <c r="M10" i="11" a="1"/>
  <c r="M10" i="11" s="1"/>
  <c r="N22" i="1" s="1"/>
  <c r="L10" i="11" a="1"/>
  <c r="L10" i="11" s="1"/>
  <c r="N21" i="1" s="1"/>
  <c r="N9" i="11" a="1"/>
  <c r="N9" i="11" s="1"/>
  <c r="N20" i="1" s="1"/>
  <c r="M9" i="11" a="1"/>
  <c r="M9" i="11" s="1"/>
  <c r="N19" i="1" s="1"/>
  <c r="L9" i="11" a="1"/>
  <c r="L9" i="11" s="1"/>
  <c r="N18" i="1" s="1"/>
  <c r="N8" i="11" a="1"/>
  <c r="N8" i="11" s="1"/>
  <c r="N17" i="1" s="1"/>
  <c r="M8" i="11" a="1"/>
  <c r="M8" i="11" s="1"/>
  <c r="N16" i="1" s="1"/>
  <c r="L8" i="11" a="1"/>
  <c r="L8" i="11" s="1"/>
  <c r="N15" i="1" s="1"/>
  <c r="N7" i="11" a="1"/>
  <c r="N7" i="11" s="1"/>
  <c r="N14" i="1" s="1"/>
  <c r="M7" i="11" a="1"/>
  <c r="M7" i="11" s="1"/>
  <c r="N13" i="1" s="1"/>
  <c r="L7" i="11" a="1"/>
  <c r="L7" i="11" s="1"/>
  <c r="N12" i="1" s="1"/>
  <c r="N6" i="11" a="1"/>
  <c r="N6" i="11" s="1"/>
  <c r="N11" i="1" s="1"/>
  <c r="M6" i="11" a="1"/>
  <c r="M6" i="11" s="1"/>
  <c r="N10" i="1" s="1"/>
  <c r="L6" i="11" a="1"/>
  <c r="L6" i="11" s="1"/>
  <c r="N9" i="1" s="1"/>
  <c r="N5" i="11" a="1"/>
  <c r="N5" i="11" s="1"/>
  <c r="N8" i="1" s="1"/>
  <c r="M5" i="11" a="1"/>
  <c r="M5" i="11" s="1"/>
  <c r="N7" i="1" s="1"/>
  <c r="L5" i="11" a="1"/>
  <c r="L5" i="11" s="1"/>
  <c r="N6" i="1" s="1"/>
  <c r="N4" i="11" a="1"/>
  <c r="N4" i="11" s="1"/>
  <c r="M4" i="11" a="1"/>
  <c r="M4" i="11" s="1"/>
  <c r="L4" i="11" a="1"/>
  <c r="L4" i="11" s="1"/>
  <c r="M32" i="1"/>
  <c r="M31" i="1"/>
  <c r="M30" i="1"/>
  <c r="M28" i="1"/>
  <c r="M27" i="1"/>
  <c r="N11" i="10" a="1"/>
  <c r="N11" i="10" s="1"/>
  <c r="M26" i="1" s="1"/>
  <c r="M11" i="10" a="1"/>
  <c r="M11" i="10" s="1"/>
  <c r="M25" i="1" s="1"/>
  <c r="L11" i="10" a="1"/>
  <c r="L11" i="10" s="1"/>
  <c r="M24" i="1" s="1"/>
  <c r="N10" i="10" a="1"/>
  <c r="N10" i="10" s="1"/>
  <c r="M23" i="1" s="1"/>
  <c r="M10" i="10" a="1"/>
  <c r="M10" i="10" s="1"/>
  <c r="M22" i="1" s="1"/>
  <c r="L10" i="10" a="1"/>
  <c r="L10" i="10" s="1"/>
  <c r="M21" i="1" s="1"/>
  <c r="N9" i="10" a="1"/>
  <c r="N9" i="10" s="1"/>
  <c r="M20" i="1" s="1"/>
  <c r="M9" i="10" a="1"/>
  <c r="M9" i="10" s="1"/>
  <c r="M19" i="1" s="1"/>
  <c r="L9" i="10" a="1"/>
  <c r="L9" i="10" s="1"/>
  <c r="M18" i="1" s="1"/>
  <c r="N8" i="10" a="1"/>
  <c r="N8" i="10" s="1"/>
  <c r="M17" i="1" s="1"/>
  <c r="M8" i="10" a="1"/>
  <c r="M8" i="10" s="1"/>
  <c r="M16" i="1" s="1"/>
  <c r="L8" i="10" a="1"/>
  <c r="L8" i="10" s="1"/>
  <c r="M15" i="1" s="1"/>
  <c r="N7" i="10" a="1"/>
  <c r="N7" i="10" s="1"/>
  <c r="M14" i="1" s="1"/>
  <c r="M7" i="10" a="1"/>
  <c r="M7" i="10" s="1"/>
  <c r="M13" i="1" s="1"/>
  <c r="L7" i="10" a="1"/>
  <c r="L7" i="10" s="1"/>
  <c r="M12" i="1" s="1"/>
  <c r="N6" i="10" a="1"/>
  <c r="N6" i="10" s="1"/>
  <c r="M11" i="1" s="1"/>
  <c r="M6" i="10" a="1"/>
  <c r="M6" i="10" s="1"/>
  <c r="M10" i="1" s="1"/>
  <c r="L6" i="10" a="1"/>
  <c r="L6" i="10" s="1"/>
  <c r="M9" i="1" s="1"/>
  <c r="N5" i="10" a="1"/>
  <c r="N5" i="10" s="1"/>
  <c r="M8" i="1" s="1"/>
  <c r="M5" i="10" a="1"/>
  <c r="M5" i="10" s="1"/>
  <c r="M7" i="1" s="1"/>
  <c r="L5" i="10" a="1"/>
  <c r="L5" i="10" s="1"/>
  <c r="M6" i="1" s="1"/>
  <c r="N4" i="10" a="1"/>
  <c r="N4" i="10" s="1"/>
  <c r="M4" i="10" a="1"/>
  <c r="M4" i="10" s="1"/>
  <c r="L4" i="10" a="1"/>
  <c r="L4" i="10" s="1"/>
  <c r="L32" i="1"/>
  <c r="L31" i="1"/>
  <c r="L30" i="1"/>
  <c r="L28" i="1"/>
  <c r="L27" i="1"/>
  <c r="N11" i="9" a="1"/>
  <c r="N11" i="9" s="1"/>
  <c r="L26" i="1" s="1"/>
  <c r="M11" i="9" a="1"/>
  <c r="M11" i="9" s="1"/>
  <c r="L25" i="1" s="1"/>
  <c r="L11" i="9" a="1"/>
  <c r="L11" i="9" s="1"/>
  <c r="L24" i="1" s="1"/>
  <c r="N10" i="9" a="1"/>
  <c r="N10" i="9" s="1"/>
  <c r="L23" i="1" s="1"/>
  <c r="M10" i="9" a="1"/>
  <c r="M10" i="9" s="1"/>
  <c r="L22" i="1" s="1"/>
  <c r="L10" i="9" a="1"/>
  <c r="L10" i="9" s="1"/>
  <c r="L21" i="1" s="1"/>
  <c r="N9" i="9" a="1"/>
  <c r="N9" i="9" s="1"/>
  <c r="L20" i="1" s="1"/>
  <c r="M9" i="9" a="1"/>
  <c r="M9" i="9" s="1"/>
  <c r="L19" i="1" s="1"/>
  <c r="L9" i="9" a="1"/>
  <c r="L9" i="9" s="1"/>
  <c r="L18" i="1" s="1"/>
  <c r="N8" i="9" a="1"/>
  <c r="N8" i="9" s="1"/>
  <c r="L17" i="1" s="1"/>
  <c r="M8" i="9" a="1"/>
  <c r="M8" i="9" s="1"/>
  <c r="L16" i="1" s="1"/>
  <c r="L8" i="9" a="1"/>
  <c r="L8" i="9" s="1"/>
  <c r="L15" i="1" s="1"/>
  <c r="N7" i="9" a="1"/>
  <c r="N7" i="9" s="1"/>
  <c r="L14" i="1" s="1"/>
  <c r="M7" i="9" a="1"/>
  <c r="M7" i="9" s="1"/>
  <c r="L13" i="1" s="1"/>
  <c r="L7" i="9" a="1"/>
  <c r="L7" i="9" s="1"/>
  <c r="L12" i="1" s="1"/>
  <c r="N6" i="9" a="1"/>
  <c r="N6" i="9" s="1"/>
  <c r="L11" i="1" s="1"/>
  <c r="M6" i="9" a="1"/>
  <c r="M6" i="9" s="1"/>
  <c r="L10" i="1" s="1"/>
  <c r="L6" i="9" a="1"/>
  <c r="L6" i="9" s="1"/>
  <c r="L9" i="1" s="1"/>
  <c r="N5" i="9" a="1"/>
  <c r="N5" i="9" s="1"/>
  <c r="L8" i="1" s="1"/>
  <c r="M5" i="9" a="1"/>
  <c r="M5" i="9" s="1"/>
  <c r="L7" i="1" s="1"/>
  <c r="L5" i="9" a="1"/>
  <c r="L5" i="9" s="1"/>
  <c r="L6" i="1" s="1"/>
  <c r="N4" i="9" a="1"/>
  <c r="N4" i="9" s="1"/>
  <c r="M4" i="9" a="1"/>
  <c r="M4" i="9" s="1"/>
  <c r="L4" i="9" a="1"/>
  <c r="L4" i="9" s="1"/>
  <c r="K32" i="1"/>
  <c r="K31" i="1"/>
  <c r="K30" i="1"/>
  <c r="K28" i="1"/>
  <c r="K27" i="1"/>
  <c r="N11" i="8" a="1"/>
  <c r="N11" i="8" s="1"/>
  <c r="K26" i="1" s="1"/>
  <c r="M11" i="8" a="1"/>
  <c r="M11" i="8" s="1"/>
  <c r="K25" i="1" s="1"/>
  <c r="L11" i="8" a="1"/>
  <c r="L11" i="8" s="1"/>
  <c r="K24" i="1" s="1"/>
  <c r="N10" i="8" a="1"/>
  <c r="N10" i="8" s="1"/>
  <c r="K23" i="1" s="1"/>
  <c r="M10" i="8" a="1"/>
  <c r="M10" i="8" s="1"/>
  <c r="K22" i="1" s="1"/>
  <c r="L10" i="8" a="1"/>
  <c r="L10" i="8" s="1"/>
  <c r="K21" i="1" s="1"/>
  <c r="N9" i="8" a="1"/>
  <c r="N9" i="8" s="1"/>
  <c r="K20" i="1" s="1"/>
  <c r="M9" i="8" a="1"/>
  <c r="M9" i="8" s="1"/>
  <c r="K19" i="1" s="1"/>
  <c r="L9" i="8" a="1"/>
  <c r="L9" i="8" s="1"/>
  <c r="K18" i="1" s="1"/>
  <c r="N8" i="8" a="1"/>
  <c r="N8" i="8" s="1"/>
  <c r="K17" i="1" s="1"/>
  <c r="M8" i="8" a="1"/>
  <c r="M8" i="8" s="1"/>
  <c r="K16" i="1" s="1"/>
  <c r="L8" i="8" a="1"/>
  <c r="L8" i="8" s="1"/>
  <c r="K15" i="1" s="1"/>
  <c r="N7" i="8" a="1"/>
  <c r="N7" i="8" s="1"/>
  <c r="K14" i="1" s="1"/>
  <c r="M7" i="8" a="1"/>
  <c r="M7" i="8" s="1"/>
  <c r="K13" i="1" s="1"/>
  <c r="L7" i="8" a="1"/>
  <c r="L7" i="8" s="1"/>
  <c r="K12" i="1" s="1"/>
  <c r="N6" i="8" a="1"/>
  <c r="N6" i="8" s="1"/>
  <c r="K11" i="1" s="1"/>
  <c r="M6" i="8" a="1"/>
  <c r="M6" i="8" s="1"/>
  <c r="K10" i="1" s="1"/>
  <c r="L6" i="8" a="1"/>
  <c r="L6" i="8" s="1"/>
  <c r="K9" i="1" s="1"/>
  <c r="N5" i="8" a="1"/>
  <c r="N5" i="8" s="1"/>
  <c r="K8" i="1" s="1"/>
  <c r="M5" i="8" a="1"/>
  <c r="M5" i="8" s="1"/>
  <c r="K7" i="1" s="1"/>
  <c r="L5" i="8" a="1"/>
  <c r="L5" i="8" s="1"/>
  <c r="K6" i="1" s="1"/>
  <c r="N4" i="8" a="1"/>
  <c r="N4" i="8" s="1"/>
  <c r="M4" i="8" a="1"/>
  <c r="M4" i="8" s="1"/>
  <c r="L4" i="8" a="1"/>
  <c r="L4" i="8" s="1"/>
  <c r="J32" i="1"/>
  <c r="J31" i="1"/>
  <c r="J30" i="1"/>
  <c r="J28" i="1"/>
  <c r="J27" i="1"/>
  <c r="N11" i="7" a="1"/>
  <c r="N11" i="7" s="1"/>
  <c r="J26" i="1" s="1"/>
  <c r="M11" i="7" a="1"/>
  <c r="M11" i="7" s="1"/>
  <c r="J25" i="1" s="1"/>
  <c r="L11" i="7" a="1"/>
  <c r="L11" i="7" s="1"/>
  <c r="J24" i="1" s="1"/>
  <c r="N10" i="7" a="1"/>
  <c r="N10" i="7" s="1"/>
  <c r="J23" i="1" s="1"/>
  <c r="M10" i="7" a="1"/>
  <c r="M10" i="7" s="1"/>
  <c r="J22" i="1" s="1"/>
  <c r="L10" i="7" a="1"/>
  <c r="L10" i="7" s="1"/>
  <c r="J21" i="1" s="1"/>
  <c r="N9" i="7" a="1"/>
  <c r="N9" i="7" s="1"/>
  <c r="J20" i="1" s="1"/>
  <c r="M9" i="7" a="1"/>
  <c r="M9" i="7" s="1"/>
  <c r="J19" i="1" s="1"/>
  <c r="L9" i="7" a="1"/>
  <c r="L9" i="7" s="1"/>
  <c r="J18" i="1" s="1"/>
  <c r="N8" i="7" a="1"/>
  <c r="N8" i="7" s="1"/>
  <c r="J17" i="1" s="1"/>
  <c r="M8" i="7" a="1"/>
  <c r="M8" i="7" s="1"/>
  <c r="J16" i="1" s="1"/>
  <c r="L8" i="7" a="1"/>
  <c r="L8" i="7" s="1"/>
  <c r="J15" i="1" s="1"/>
  <c r="N7" i="7" a="1"/>
  <c r="N7" i="7" s="1"/>
  <c r="J14" i="1" s="1"/>
  <c r="M7" i="7" a="1"/>
  <c r="M7" i="7" s="1"/>
  <c r="J13" i="1" s="1"/>
  <c r="L7" i="7" a="1"/>
  <c r="L7" i="7" s="1"/>
  <c r="J12" i="1" s="1"/>
  <c r="N6" i="7" a="1"/>
  <c r="N6" i="7" s="1"/>
  <c r="J11" i="1" s="1"/>
  <c r="M6" i="7" a="1"/>
  <c r="M6" i="7" s="1"/>
  <c r="J10" i="1" s="1"/>
  <c r="L6" i="7" a="1"/>
  <c r="L6" i="7" s="1"/>
  <c r="J9" i="1" s="1"/>
  <c r="N5" i="7" a="1"/>
  <c r="N5" i="7" s="1"/>
  <c r="J8" i="1" s="1"/>
  <c r="M5" i="7" a="1"/>
  <c r="M5" i="7" s="1"/>
  <c r="J7" i="1" s="1"/>
  <c r="L5" i="7" a="1"/>
  <c r="L5" i="7" s="1"/>
  <c r="J6" i="1" s="1"/>
  <c r="N4" i="7" a="1"/>
  <c r="N4" i="7" s="1"/>
  <c r="M4" i="7" a="1"/>
  <c r="M4" i="7" s="1"/>
  <c r="L4" i="7" a="1"/>
  <c r="L4" i="7" s="1"/>
  <c r="I32" i="1"/>
  <c r="I31" i="1"/>
  <c r="I30" i="1"/>
  <c r="I28" i="1"/>
  <c r="I27" i="1"/>
  <c r="N11" i="6" a="1"/>
  <c r="N11" i="6" s="1"/>
  <c r="M11" i="6" a="1"/>
  <c r="M11" i="6" s="1"/>
  <c r="I25" i="1" s="1"/>
  <c r="L11" i="6" a="1"/>
  <c r="L11" i="6" s="1"/>
  <c r="I24" i="1" s="1"/>
  <c r="N10" i="6" a="1"/>
  <c r="N10" i="6" s="1"/>
  <c r="I23" i="1" s="1"/>
  <c r="M10" i="6" a="1"/>
  <c r="M10" i="6" s="1"/>
  <c r="I22" i="1" s="1"/>
  <c r="L10" i="6" a="1"/>
  <c r="L10" i="6" s="1"/>
  <c r="I21" i="1" s="1"/>
  <c r="N9" i="6" a="1"/>
  <c r="N9" i="6" s="1"/>
  <c r="I20" i="1" s="1"/>
  <c r="M9" i="6" a="1"/>
  <c r="M9" i="6" s="1"/>
  <c r="I19" i="1" s="1"/>
  <c r="L9" i="6" a="1"/>
  <c r="L9" i="6" s="1"/>
  <c r="I18" i="1" s="1"/>
  <c r="N8" i="6" a="1"/>
  <c r="N8" i="6" s="1"/>
  <c r="I17" i="1" s="1"/>
  <c r="M8" i="6" a="1"/>
  <c r="M8" i="6" s="1"/>
  <c r="I16" i="1" s="1"/>
  <c r="L8" i="6" a="1"/>
  <c r="L8" i="6" s="1"/>
  <c r="I15" i="1" s="1"/>
  <c r="N7" i="6" a="1"/>
  <c r="N7" i="6" s="1"/>
  <c r="I14" i="1" s="1"/>
  <c r="M7" i="6" a="1"/>
  <c r="M7" i="6" s="1"/>
  <c r="I13" i="1" s="1"/>
  <c r="L7" i="6" a="1"/>
  <c r="L7" i="6" s="1"/>
  <c r="I12" i="1" s="1"/>
  <c r="N6" i="6" a="1"/>
  <c r="N6" i="6" s="1"/>
  <c r="I11" i="1" s="1"/>
  <c r="M6" i="6" a="1"/>
  <c r="M6" i="6" s="1"/>
  <c r="I10" i="1" s="1"/>
  <c r="L6" i="6" a="1"/>
  <c r="L6" i="6" s="1"/>
  <c r="I9" i="1" s="1"/>
  <c r="N5" i="6" a="1"/>
  <c r="N5" i="6" s="1"/>
  <c r="I8" i="1" s="1"/>
  <c r="M5" i="6" a="1"/>
  <c r="M5" i="6" s="1"/>
  <c r="I7" i="1" s="1"/>
  <c r="L5" i="6" a="1"/>
  <c r="L5" i="6" s="1"/>
  <c r="I6" i="1" s="1"/>
  <c r="N4" i="6" a="1"/>
  <c r="N4" i="6" s="1"/>
  <c r="M4" i="6" a="1"/>
  <c r="M4" i="6" s="1"/>
  <c r="L4" i="6" a="1"/>
  <c r="L4" i="6" s="1"/>
  <c r="H32" i="1"/>
  <c r="H31" i="1"/>
  <c r="H30" i="1"/>
  <c r="H28" i="1"/>
  <c r="H27" i="1"/>
  <c r="N11" i="5" a="1"/>
  <c r="N11" i="5" s="1"/>
  <c r="H26" i="1" s="1"/>
  <c r="M11" i="5" a="1"/>
  <c r="M11" i="5" s="1"/>
  <c r="H25" i="1" s="1"/>
  <c r="L11" i="5" a="1"/>
  <c r="L11" i="5" s="1"/>
  <c r="H24" i="1" s="1"/>
  <c r="N10" i="5" a="1"/>
  <c r="N10" i="5" s="1"/>
  <c r="H23" i="1" s="1"/>
  <c r="M10" i="5" a="1"/>
  <c r="M10" i="5" s="1"/>
  <c r="H22" i="1" s="1"/>
  <c r="L10" i="5" a="1"/>
  <c r="L10" i="5" s="1"/>
  <c r="H21" i="1" s="1"/>
  <c r="N9" i="5" a="1"/>
  <c r="N9" i="5" s="1"/>
  <c r="H20" i="1" s="1"/>
  <c r="M9" i="5" a="1"/>
  <c r="M9" i="5" s="1"/>
  <c r="H19" i="1" s="1"/>
  <c r="L9" i="5" a="1"/>
  <c r="L9" i="5" s="1"/>
  <c r="H18" i="1" s="1"/>
  <c r="N8" i="5" a="1"/>
  <c r="N8" i="5" s="1"/>
  <c r="H17" i="1" s="1"/>
  <c r="M8" i="5" a="1"/>
  <c r="M8" i="5" s="1"/>
  <c r="H16" i="1" s="1"/>
  <c r="L8" i="5" a="1"/>
  <c r="L8" i="5" s="1"/>
  <c r="H15" i="1" s="1"/>
  <c r="N7" i="5" a="1"/>
  <c r="N7" i="5" s="1"/>
  <c r="H14" i="1" s="1"/>
  <c r="M7" i="5" a="1"/>
  <c r="M7" i="5" s="1"/>
  <c r="H13" i="1" s="1"/>
  <c r="L7" i="5" a="1"/>
  <c r="L7" i="5" s="1"/>
  <c r="H12" i="1" s="1"/>
  <c r="N6" i="5" a="1"/>
  <c r="N6" i="5" s="1"/>
  <c r="H11" i="1" s="1"/>
  <c r="M6" i="5" a="1"/>
  <c r="M6" i="5" s="1"/>
  <c r="H10" i="1" s="1"/>
  <c r="L6" i="5" a="1"/>
  <c r="L6" i="5" s="1"/>
  <c r="H9" i="1" s="1"/>
  <c r="N5" i="5" a="1"/>
  <c r="N5" i="5" s="1"/>
  <c r="H8" i="1" s="1"/>
  <c r="M5" i="5" a="1"/>
  <c r="M5" i="5" s="1"/>
  <c r="H7" i="1" s="1"/>
  <c r="L5" i="5" a="1"/>
  <c r="L5" i="5" s="1"/>
  <c r="H6" i="1" s="1"/>
  <c r="N4" i="5" a="1"/>
  <c r="N4" i="5" s="1"/>
  <c r="M4" i="5" a="1"/>
  <c r="M4" i="5" s="1"/>
  <c r="L4" i="5" a="1"/>
  <c r="L4" i="5" s="1"/>
  <c r="G32" i="1"/>
  <c r="G31" i="1"/>
  <c r="G30" i="1"/>
  <c r="G28" i="1"/>
  <c r="G27" i="1"/>
  <c r="N11" i="4" a="1"/>
  <c r="N11" i="4" s="1"/>
  <c r="G26" i="1" s="1"/>
  <c r="M11" i="4" a="1"/>
  <c r="M11" i="4" s="1"/>
  <c r="G25" i="1" s="1"/>
  <c r="L11" i="4" a="1"/>
  <c r="L11" i="4" s="1"/>
  <c r="G24" i="1" s="1"/>
  <c r="N10" i="4" a="1"/>
  <c r="N10" i="4" s="1"/>
  <c r="G23" i="1" s="1"/>
  <c r="M10" i="4" a="1"/>
  <c r="M10" i="4" s="1"/>
  <c r="G22" i="1" s="1"/>
  <c r="L10" i="4" a="1"/>
  <c r="L10" i="4" s="1"/>
  <c r="G21" i="1" s="1"/>
  <c r="N9" i="4" a="1"/>
  <c r="N9" i="4" s="1"/>
  <c r="G20" i="1" s="1"/>
  <c r="M9" i="4" a="1"/>
  <c r="M9" i="4" s="1"/>
  <c r="G19" i="1" s="1"/>
  <c r="L9" i="4" a="1"/>
  <c r="L9" i="4" s="1"/>
  <c r="G18" i="1" s="1"/>
  <c r="N8" i="4" a="1"/>
  <c r="N8" i="4" s="1"/>
  <c r="G17" i="1" s="1"/>
  <c r="M8" i="4" a="1"/>
  <c r="M8" i="4" s="1"/>
  <c r="G16" i="1" s="1"/>
  <c r="L8" i="4" a="1"/>
  <c r="L8" i="4" s="1"/>
  <c r="G15" i="1" s="1"/>
  <c r="N7" i="4" a="1"/>
  <c r="N7" i="4" s="1"/>
  <c r="G14" i="1" s="1"/>
  <c r="M7" i="4" a="1"/>
  <c r="M7" i="4" s="1"/>
  <c r="G13" i="1" s="1"/>
  <c r="L7" i="4" a="1"/>
  <c r="L7" i="4" s="1"/>
  <c r="G12" i="1" s="1"/>
  <c r="N6" i="4" a="1"/>
  <c r="N6" i="4" s="1"/>
  <c r="G11" i="1" s="1"/>
  <c r="M6" i="4" a="1"/>
  <c r="M6" i="4" s="1"/>
  <c r="G10" i="1" s="1"/>
  <c r="L6" i="4" a="1"/>
  <c r="L6" i="4" s="1"/>
  <c r="G9" i="1" s="1"/>
  <c r="N5" i="4" a="1"/>
  <c r="N5" i="4" s="1"/>
  <c r="G8" i="1" s="1"/>
  <c r="M5" i="4" a="1"/>
  <c r="M5" i="4" s="1"/>
  <c r="G7" i="1" s="1"/>
  <c r="L5" i="4" a="1"/>
  <c r="L5" i="4" s="1"/>
  <c r="G6" i="1" s="1"/>
  <c r="N4" i="4" a="1"/>
  <c r="N4" i="4" s="1"/>
  <c r="M4" i="4" a="1"/>
  <c r="M4" i="4" s="1"/>
  <c r="L4" i="4" a="1"/>
  <c r="L4" i="4" s="1"/>
  <c r="F32" i="1"/>
  <c r="F29" i="1"/>
  <c r="N12" i="2" a="1"/>
  <c r="N12" i="2" s="1"/>
  <c r="F26" i="1" s="1"/>
  <c r="N11" i="2" a="1"/>
  <c r="N11" i="2" s="1"/>
  <c r="F23" i="1" s="1"/>
  <c r="N10" i="2" a="1"/>
  <c r="N10" i="2" s="1"/>
  <c r="F20" i="1" s="1"/>
  <c r="N9" i="2" a="1"/>
  <c r="N9" i="2" s="1"/>
  <c r="F17" i="1" s="1"/>
  <c r="N8" i="2" a="1"/>
  <c r="N8" i="2" s="1"/>
  <c r="F14" i="1" s="1"/>
  <c r="N7" i="2" a="1"/>
  <c r="N7" i="2" s="1"/>
  <c r="F11" i="1" s="1"/>
  <c r="N6" i="2" a="1"/>
  <c r="N6" i="2" s="1"/>
  <c r="F8" i="1" s="1"/>
  <c r="F5" i="1"/>
  <c r="F31" i="1"/>
  <c r="F28" i="1"/>
  <c r="M12" i="2" a="1"/>
  <c r="M12" i="2" s="1"/>
  <c r="F25" i="1" s="1"/>
  <c r="M11" i="2" a="1"/>
  <c r="M11" i="2" s="1"/>
  <c r="F22" i="1" s="1"/>
  <c r="M10" i="2" a="1"/>
  <c r="M10" i="2" s="1"/>
  <c r="F19" i="1" s="1"/>
  <c r="M9" i="2" a="1"/>
  <c r="M9" i="2" s="1"/>
  <c r="F16" i="1" s="1"/>
  <c r="M8" i="2" a="1"/>
  <c r="M8" i="2" s="1"/>
  <c r="F13" i="1" s="1"/>
  <c r="M7" i="2" a="1"/>
  <c r="M7" i="2" s="1"/>
  <c r="F10" i="1" s="1"/>
  <c r="M6" i="2" a="1"/>
  <c r="M6" i="2" s="1"/>
  <c r="F7" i="1" s="1"/>
  <c r="F30" i="1"/>
  <c r="F27" i="1"/>
  <c r="L12" i="2" a="1"/>
  <c r="L12" i="2" s="1"/>
  <c r="F24" i="1" s="1"/>
  <c r="L11" i="2" a="1"/>
  <c r="L11" i="2" s="1"/>
  <c r="F21" i="1" s="1"/>
  <c r="L10" i="2" a="1"/>
  <c r="L10" i="2" s="1"/>
  <c r="F18" i="1" s="1"/>
  <c r="L9" i="2" a="1"/>
  <c r="L9" i="2" s="1"/>
  <c r="F15" i="1" s="1"/>
  <c r="L8" i="2" a="1"/>
  <c r="L8" i="2" s="1"/>
  <c r="F12" i="1" s="1"/>
  <c r="L7" i="2" a="1"/>
  <c r="L7" i="2" s="1"/>
  <c r="F9" i="1" s="1"/>
  <c r="L6" i="2" a="1"/>
  <c r="L6" i="2" s="1"/>
  <c r="F6" i="1" s="1"/>
  <c r="M5" i="2" a="1"/>
  <c r="M5" i="2" s="1"/>
  <c r="L5" i="2" a="1"/>
  <c r="L5" i="2" s="1"/>
  <c r="N14" i="5" l="1"/>
  <c r="N14" i="4"/>
  <c r="F3" i="1"/>
  <c r="L15" i="2"/>
  <c r="F4" i="1"/>
  <c r="F33" i="1" s="1"/>
  <c r="M15" i="2"/>
  <c r="G3" i="1"/>
  <c r="E4" i="16" s="1"/>
  <c r="L14" i="4"/>
  <c r="G4" i="1"/>
  <c r="G33" i="1" s="1"/>
  <c r="M14" i="4"/>
  <c r="H4" i="1"/>
  <c r="M14" i="5"/>
  <c r="H3" i="1"/>
  <c r="F4" i="16" s="1"/>
  <c r="L14" i="5"/>
  <c r="I3" i="1"/>
  <c r="G4" i="16" s="1"/>
  <c r="L14" i="6"/>
  <c r="I4" i="1"/>
  <c r="M14" i="6"/>
  <c r="I5" i="1"/>
  <c r="N14" i="6"/>
  <c r="J3" i="1"/>
  <c r="L14" i="7"/>
  <c r="J4" i="1"/>
  <c r="M14" i="7"/>
  <c r="J5" i="1"/>
  <c r="N14" i="7"/>
  <c r="K3" i="1"/>
  <c r="L14" i="8"/>
  <c r="K4" i="1"/>
  <c r="K33" i="1" s="1"/>
  <c r="M14" i="8"/>
  <c r="K5" i="1"/>
  <c r="N14" i="8"/>
  <c r="P3" i="1"/>
  <c r="L14" i="13"/>
  <c r="O3" i="1"/>
  <c r="L14" i="12"/>
  <c r="O4" i="1"/>
  <c r="O33" i="1" s="1"/>
  <c r="M14" i="12"/>
  <c r="O5" i="1"/>
  <c r="O34" i="1" s="1"/>
  <c r="N14" i="12"/>
  <c r="N3" i="1"/>
  <c r="L4" i="16" s="1"/>
  <c r="L14" i="11"/>
  <c r="N4" i="1"/>
  <c r="M14" i="11"/>
  <c r="N5" i="1"/>
  <c r="N14" i="11"/>
  <c r="M3" i="1"/>
  <c r="L14" i="10"/>
  <c r="M4" i="1"/>
  <c r="M33" i="1" s="1"/>
  <c r="M14" i="10"/>
  <c r="M5" i="1"/>
  <c r="M34" i="1" s="1"/>
  <c r="N14" i="10"/>
  <c r="L3" i="1"/>
  <c r="J4" i="16" s="1"/>
  <c r="L14" i="9"/>
  <c r="L4" i="1"/>
  <c r="L33" i="1" s="1"/>
  <c r="M14" i="9"/>
  <c r="L5" i="1"/>
  <c r="L34" i="1" s="1"/>
  <c r="N14" i="9"/>
  <c r="H5" i="1"/>
  <c r="H34" i="1" s="1"/>
  <c r="M5" i="16"/>
  <c r="L5" i="16"/>
  <c r="K5" i="16"/>
  <c r="J5" i="16"/>
  <c r="I5" i="16"/>
  <c r="H5" i="16"/>
  <c r="G5" i="16"/>
  <c r="F5" i="16"/>
  <c r="G5" i="1"/>
  <c r="P5" i="1"/>
  <c r="P34" i="1" s="1"/>
  <c r="N14" i="13"/>
  <c r="N15" i="2"/>
  <c r="Q4" i="1"/>
  <c r="M14" i="14"/>
  <c r="O5" i="16"/>
  <c r="N5" i="16"/>
  <c r="O4" i="16"/>
  <c r="N4" i="16"/>
  <c r="I4" i="16"/>
  <c r="M4" i="16"/>
  <c r="N14" i="14"/>
  <c r="M14" i="13"/>
  <c r="H4" i="16"/>
  <c r="E5" i="16"/>
  <c r="D5" i="16"/>
  <c r="D4" i="16"/>
  <c r="J34" i="1"/>
  <c r="I26" i="1"/>
  <c r="E26" i="1" s="1"/>
  <c r="Q34" i="1"/>
  <c r="P33" i="1"/>
  <c r="K34" i="1"/>
  <c r="J33" i="1"/>
  <c r="I33" i="1"/>
  <c r="H33" i="1"/>
  <c r="E15" i="1"/>
  <c r="R23" i="1"/>
  <c r="R28" i="1"/>
  <c r="R18" i="1"/>
  <c r="E16" i="1"/>
  <c r="E24" i="1"/>
  <c r="E13" i="1"/>
  <c r="E9" i="1"/>
  <c r="E19" i="1"/>
  <c r="R12" i="1"/>
  <c r="E12" i="1"/>
  <c r="E10" i="1"/>
  <c r="R10" i="1"/>
  <c r="E22" i="1"/>
  <c r="R22" i="1"/>
  <c r="E27" i="1"/>
  <c r="R27" i="1"/>
  <c r="E25" i="1"/>
  <c r="R25" i="1"/>
  <c r="R6" i="1"/>
  <c r="E6" i="1"/>
  <c r="E30" i="1"/>
  <c r="R30" i="1"/>
  <c r="R21" i="1"/>
  <c r="E21" i="1"/>
  <c r="E7" i="1"/>
  <c r="R7" i="1"/>
  <c r="R31" i="1"/>
  <c r="E31" i="1"/>
  <c r="E20" i="1"/>
  <c r="R20" i="1"/>
  <c r="R8" i="1"/>
  <c r="E8" i="1"/>
  <c r="R11" i="1"/>
  <c r="E11" i="1"/>
  <c r="E14" i="1"/>
  <c r="R14" i="1"/>
  <c r="E17" i="1"/>
  <c r="R17" i="1"/>
  <c r="E32" i="1"/>
  <c r="R32" i="1"/>
  <c r="E28" i="1"/>
  <c r="R24" i="1"/>
  <c r="E23" i="1"/>
  <c r="R19" i="1"/>
  <c r="E18" i="1"/>
  <c r="R16" i="1"/>
  <c r="R15" i="1"/>
  <c r="R13" i="1"/>
  <c r="F34" i="1"/>
  <c r="R9" i="1"/>
  <c r="R5" i="1" l="1"/>
  <c r="R4" i="1"/>
  <c r="N34" i="1"/>
  <c r="E3" i="1"/>
  <c r="N33" i="1"/>
  <c r="K4" i="16"/>
  <c r="R3" i="1"/>
  <c r="E4" i="1"/>
  <c r="E33" i="1" s="1"/>
  <c r="S16" i="1" s="1"/>
  <c r="E5" i="1"/>
  <c r="Q33" i="1"/>
  <c r="I34" i="1"/>
  <c r="R26" i="1"/>
  <c r="G34" i="16"/>
  <c r="I34" i="16"/>
  <c r="H34" i="16"/>
  <c r="E34" i="16"/>
  <c r="J34" i="16"/>
  <c r="K34" i="16"/>
  <c r="F34" i="16"/>
  <c r="R29" i="1"/>
  <c r="E29" i="1"/>
  <c r="G34" i="1"/>
  <c r="E34" i="1" l="1"/>
  <c r="S5" i="1" s="1"/>
  <c r="D34" i="16"/>
  <c r="N38" i="16" s="1"/>
  <c r="S4" i="1"/>
  <c r="H19" i="16"/>
  <c r="S7" i="1"/>
  <c r="S22" i="1"/>
  <c r="S25" i="1"/>
  <c r="S28" i="1"/>
  <c r="S31" i="1"/>
  <c r="S13" i="1"/>
  <c r="S10" i="1"/>
  <c r="S19" i="1"/>
  <c r="G19" i="16" l="1"/>
  <c r="J19" i="16"/>
  <c r="F19" i="16"/>
  <c r="E19" i="16"/>
  <c r="K19" i="16"/>
  <c r="I19" i="16"/>
  <c r="D19" i="16"/>
  <c r="D20" i="16"/>
  <c r="S14" i="1"/>
  <c r="S23" i="1"/>
  <c r="S8" i="1"/>
  <c r="S26" i="1"/>
  <c r="S32" i="1"/>
  <c r="S29" i="1"/>
  <c r="S17" i="1"/>
  <c r="S20" i="1"/>
  <c r="S11" i="1"/>
  <c r="I20" i="16" l="1"/>
  <c r="H20" i="16"/>
  <c r="E20" i="16"/>
  <c r="J20" i="16"/>
  <c r="K20" i="16"/>
  <c r="F20" i="16"/>
  <c r="G20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<sst xmlns="http://schemas.openxmlformats.org/spreadsheetml/2006/main" count="421" uniqueCount="87">
  <si>
    <t>연간/월별 매출 지표</t>
    <phoneticPr fontId="2" type="noConversion"/>
  </si>
  <si>
    <t>대분류</t>
    <phoneticPr fontId="2" type="noConversion"/>
  </si>
  <si>
    <t>분류</t>
    <phoneticPr fontId="2" type="noConversion"/>
  </si>
  <si>
    <t>항목</t>
    <phoneticPr fontId="2" type="noConversion"/>
  </si>
  <si>
    <t>합계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</si>
  <si>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</si>
  <si>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</si>
  <si>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</si>
  <si>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</si>
  <si>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</si>
  <si>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</si>
  <si>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</si>
  <si>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</si>
  <si>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</si>
  <si>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</si>
  <si>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</si>
  <si>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</si>
  <si>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월평균</t>
    <phoneticPr fontId="2" type="noConversion"/>
  </si>
  <si>
    <t>총매출/이익
대비비율</t>
    <phoneticPr fontId="2" type="noConversion"/>
  </si>
  <si>
    <t>중포장</t>
    <phoneticPr fontId="2" type="noConversion"/>
  </si>
  <si>
    <t>25kg</t>
    <phoneticPr fontId="2" type="noConversion"/>
  </si>
  <si>
    <t>출고수량</t>
    <phoneticPr fontId="2" type="noConversion"/>
  </si>
  <si>
    <t>매출액</t>
    <phoneticPr fontId="2" type="noConversion"/>
  </si>
  <si>
    <t>이익</t>
    <phoneticPr fontId="2" type="noConversion"/>
  </si>
  <si>
    <t>25kgAL</t>
    <phoneticPr fontId="2" type="noConversion"/>
  </si>
  <si>
    <t>대포장</t>
    <phoneticPr fontId="2" type="noConversion"/>
  </si>
  <si>
    <t>톤백 
700미만</t>
    <phoneticPr fontId="2" type="noConversion"/>
  </si>
  <si>
    <t>톤백 
700이상</t>
    <phoneticPr fontId="2" type="noConversion"/>
  </si>
  <si>
    <t>톤백
특수</t>
    <phoneticPr fontId="2" type="noConversion"/>
  </si>
  <si>
    <t>기타</t>
    <phoneticPr fontId="2" type="noConversion"/>
  </si>
  <si>
    <t>필름백 
소형백</t>
    <phoneticPr fontId="2" type="noConversion"/>
  </si>
  <si>
    <t>부자재</t>
    <phoneticPr fontId="2" type="noConversion"/>
  </si>
  <si>
    <t>기타매출</t>
    <phoneticPr fontId="2" type="noConversion"/>
  </si>
  <si>
    <t>총매출</t>
    <phoneticPr fontId="2" type="noConversion"/>
  </si>
  <si>
    <t>총이익</t>
    <phoneticPr fontId="2" type="noConversion"/>
  </si>
  <si>
    <t>월별 출고 수량 및 이익 분포표</t>
    <phoneticPr fontId="2" type="noConversion"/>
  </si>
  <si>
    <t>월별출고수량</t>
    <phoneticPr fontId="2" type="noConversion"/>
  </si>
  <si>
    <t>중포장(25kg)</t>
    <phoneticPr fontId="2" type="noConversion"/>
  </si>
  <si>
    <t>대포장(톤백)</t>
    <phoneticPr fontId="2" type="noConversion"/>
  </si>
  <si>
    <t>비중</t>
    <phoneticPr fontId="2" type="noConversion"/>
  </si>
  <si>
    <t xml:space="preserve">총매출대비지분율 </t>
    <phoneticPr fontId="2" type="noConversion"/>
  </si>
  <si>
    <t>총이익대비지분율</t>
    <phoneticPr fontId="2" type="noConversion"/>
  </si>
  <si>
    <t>이익/매출</t>
    <phoneticPr fontId="2" type="noConversion"/>
  </si>
  <si>
    <t>종목별 이윤</t>
    <phoneticPr fontId="2" type="noConversion"/>
  </si>
  <si>
    <t>평균</t>
    <phoneticPr fontId="2" type="noConversion"/>
  </si>
  <si>
    <t>거래처</t>
    <phoneticPr fontId="2" type="noConversion"/>
  </si>
  <si>
    <t>class</t>
    <phoneticPr fontId="2" type="noConversion"/>
  </si>
  <si>
    <t>품목</t>
    <phoneticPr fontId="2" type="noConversion"/>
  </si>
  <si>
    <t>수량</t>
    <phoneticPr fontId="2" type="noConversion"/>
  </si>
  <si>
    <t>B</t>
    <phoneticPr fontId="2" type="noConversion"/>
  </si>
  <si>
    <t>1월 총계</t>
    <phoneticPr fontId="2" type="noConversion"/>
  </si>
  <si>
    <t>C</t>
    <phoneticPr fontId="2" type="noConversion"/>
  </si>
  <si>
    <t>총수량</t>
    <phoneticPr fontId="2" type="noConversion"/>
  </si>
  <si>
    <t>총이윤</t>
    <phoneticPr fontId="2" type="noConversion"/>
  </si>
  <si>
    <t>A</t>
    <phoneticPr fontId="2" type="noConversion"/>
  </si>
  <si>
    <t>E</t>
    <phoneticPr fontId="2" type="noConversion"/>
  </si>
  <si>
    <t>톤백 700미만</t>
    <phoneticPr fontId="2" type="noConversion"/>
  </si>
  <si>
    <t>D</t>
    <phoneticPr fontId="2" type="noConversion"/>
  </si>
  <si>
    <t>톤백 700이상</t>
    <phoneticPr fontId="2" type="noConversion"/>
  </si>
  <si>
    <t>톤백 특수</t>
    <phoneticPr fontId="2" type="noConversion"/>
  </si>
  <si>
    <t>F</t>
    <phoneticPr fontId="2" type="noConversion"/>
  </si>
  <si>
    <t>필름백 소형백</t>
    <phoneticPr fontId="2" type="noConversion"/>
  </si>
  <si>
    <t>G</t>
    <phoneticPr fontId="2" type="noConversion"/>
  </si>
  <si>
    <t>H</t>
    <phoneticPr fontId="2" type="noConversion"/>
  </si>
  <si>
    <t>2월 총계</t>
    <phoneticPr fontId="2" type="noConversion"/>
  </si>
  <si>
    <t>3월 총계</t>
    <phoneticPr fontId="2" type="noConversion"/>
  </si>
  <si>
    <t>4월 총계</t>
    <phoneticPr fontId="2" type="noConversion"/>
  </si>
  <si>
    <t>5월 총계</t>
    <phoneticPr fontId="2" type="noConversion"/>
  </si>
  <si>
    <t>6월 총계</t>
    <phoneticPr fontId="2" type="noConversion"/>
  </si>
  <si>
    <t>7월 총계</t>
    <phoneticPr fontId="2" type="noConversion"/>
  </si>
  <si>
    <t>8월 총계</t>
    <phoneticPr fontId="2" type="noConversion"/>
  </si>
  <si>
    <t>9월 총계</t>
    <phoneticPr fontId="2" type="noConversion"/>
  </si>
  <si>
    <t>10월 총계</t>
    <phoneticPr fontId="2" type="noConversion"/>
  </si>
  <si>
    <t>11월 총계</t>
    <phoneticPr fontId="2" type="noConversion"/>
  </si>
  <si>
    <t>12월 총계</t>
    <phoneticPr fontId="2" type="noConversion"/>
  </si>
  <si>
    <t>2026년 1월 내역</t>
    <phoneticPr fontId="2" type="noConversion"/>
  </si>
  <si>
    <t>2026년 2월 내역</t>
    <phoneticPr fontId="2" type="noConversion"/>
  </si>
  <si>
    <t>2026년 3월 내역</t>
    <phoneticPr fontId="2" type="noConversion"/>
  </si>
  <si>
    <t>2026년 4월 내역</t>
    <phoneticPr fontId="2" type="noConversion"/>
  </si>
  <si>
    <t>2026년 5월 내역</t>
    <phoneticPr fontId="2" type="noConversion"/>
  </si>
  <si>
    <t>2026년 6월 내역</t>
    <phoneticPr fontId="2" type="noConversion"/>
  </si>
  <si>
    <t>2026년 7월 내역</t>
    <phoneticPr fontId="2" type="noConversion"/>
  </si>
  <si>
    <t>2026년  8월 내역</t>
    <phoneticPr fontId="2" type="noConversion"/>
  </si>
  <si>
    <t>2026년 9월 내역</t>
    <phoneticPr fontId="2" type="noConversion"/>
  </si>
  <si>
    <t>2026년 10월 내역</t>
    <phoneticPr fontId="2" type="noConversion"/>
  </si>
  <si>
    <t>2026년 11월 내역</t>
    <phoneticPr fontId="2" type="noConversion"/>
  </si>
  <si>
    <t>2026년 12월 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</si>
</sst>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;\-0;;@"/>
    <numFmt numFmtId="177" formatCode="0.0%"/>
    <numFmt numFmtId="178" formatCode="_-* #,##0.000_-;\-* #,##0.00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b/>
      <sz val="15"/>
      <color theme="0"/>
      <name val="굴림"/>
      <family val="3"/>
      <charset val="129"/>
    </font>
    <font>
      <sz val="15"/>
      <color theme="0"/>
      <name val="굴림"/>
      <family val="3"/>
      <charset val="129"/>
    </font>
    <font>
      <b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C76"/>
        <bgColor indexed="64"/>
      </patternFill>
    </fill>
    <fill>
      <patternFill patternType="solid">
        <fgColor rgb="FF79BC2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0" fillId="0" borderId="14" xfId="0" applyBorder="1">
      <alignment vertical="center"/>
    </xf>
    <xf numFmtId="0" fontId="0" fillId="3" borderId="2" xfId="0" applyFill="1" applyBorder="1">
      <alignment vertical="center"/>
    </xf>
    <xf numFmtId="0" fontId="0" fillId="3" borderId="23" xfId="0" applyFill="1" applyBorder="1">
      <alignment vertical="center"/>
    </xf>
    <xf numFmtId="0" fontId="3" fillId="0" borderId="0" xfId="0" applyFont="1">
      <alignment vertical="center"/>
    </xf>
    <xf numFmtId="0" fontId="5" fillId="3" borderId="36" xfId="0" applyFont="1" applyFill="1" applyBorder="1">
      <alignment vertical="center"/>
    </xf>
    <xf numFmtId="0" fontId="5" fillId="3" borderId="32" xfId="0" applyFont="1" applyFill="1" applyBorder="1">
      <alignment vertical="center"/>
    </xf>
    <xf numFmtId="0" fontId="5" fillId="3" borderId="38" xfId="0" applyFont="1" applyFill="1" applyBorder="1">
      <alignment vertical="center"/>
    </xf>
    <xf numFmtId="0" fontId="5" fillId="3" borderId="22" xfId="0" applyFont="1" applyFill="1" applyBorder="1">
      <alignment vertical="center"/>
    </xf>
    <xf numFmtId="9" fontId="6" fillId="0" borderId="3" xfId="0" applyNumberFormat="1" applyFont="1" applyBorder="1">
      <alignment vertical="center"/>
    </xf>
    <xf numFmtId="9" fontId="6" fillId="0" borderId="20" xfId="0" applyNumberFormat="1" applyFont="1" applyBorder="1">
      <alignment vertical="center"/>
    </xf>
    <xf numFmtId="9" fontId="6" fillId="0" borderId="21" xfId="0" applyNumberFormat="1" applyFont="1" applyBorder="1">
      <alignment vertical="center"/>
    </xf>
    <xf numFmtId="9" fontId="6" fillId="0" borderId="33" xfId="0" applyNumberFormat="1" applyFont="1" applyBorder="1">
      <alignment vertical="center"/>
    </xf>
    <xf numFmtId="0" fontId="9" fillId="3" borderId="40" xfId="0" applyFont="1" applyFill="1" applyBorder="1">
      <alignment vertical="center"/>
    </xf>
    <xf numFmtId="0" fontId="9" fillId="3" borderId="35" xfId="0" applyFont="1" applyFill="1" applyBorder="1">
      <alignment vertical="center"/>
    </xf>
    <xf numFmtId="0" fontId="9" fillId="3" borderId="41" xfId="0" applyFont="1" applyFill="1" applyBorder="1" applyAlignment="1">
      <alignment vertical="center" wrapText="1"/>
    </xf>
    <xf numFmtId="0" fontId="9" fillId="3" borderId="40" xfId="0" applyFont="1" applyFill="1" applyBorder="1" applyAlignment="1">
      <alignment vertical="center" wrapText="1"/>
    </xf>
    <xf numFmtId="9" fontId="7" fillId="0" borderId="40" xfId="1" applyFont="1" applyBorder="1">
      <alignment vertical="center"/>
    </xf>
    <xf numFmtId="9" fontId="7" fillId="0" borderId="35" xfId="1" applyFont="1" applyBorder="1">
      <alignment vertical="center"/>
    </xf>
    <xf numFmtId="176" fontId="9" fillId="3" borderId="40" xfId="0" applyNumberFormat="1" applyFont="1" applyFill="1" applyBorder="1">
      <alignment vertical="center"/>
    </xf>
    <xf numFmtId="176" fontId="9" fillId="3" borderId="35" xfId="0" applyNumberFormat="1" applyFont="1" applyFill="1" applyBorder="1">
      <alignment vertical="center"/>
    </xf>
    <xf numFmtId="0" fontId="0" fillId="0" borderId="0" xfId="0" applyProtection="1">
      <alignment vertical="center"/>
      <protection locked="0"/>
    </xf>
    <xf numFmtId="0" fontId="0" fillId="0" borderId="14" xfId="0" applyBorder="1" applyProtection="1">
      <alignment vertical="center"/>
      <protection locked="0"/>
    </xf>
    <xf numFmtId="0" fontId="11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1" xfId="0" applyFont="1" applyBorder="1">
      <alignment vertical="center"/>
    </xf>
    <xf numFmtId="9" fontId="12" fillId="0" borderId="1" xfId="1" applyFont="1" applyBorder="1" applyProtection="1">
      <alignment vertical="center"/>
    </xf>
    <xf numFmtId="0" fontId="12" fillId="0" borderId="18" xfId="0" applyFont="1" applyBorder="1">
      <alignment vertical="center"/>
    </xf>
    <xf numFmtId="9" fontId="12" fillId="0" borderId="29" xfId="1" applyFont="1" applyBorder="1" applyProtection="1">
      <alignment vertical="center"/>
    </xf>
    <xf numFmtId="0" fontId="12" fillId="0" borderId="20" xfId="0" applyFont="1" applyBorder="1">
      <alignment vertical="center"/>
    </xf>
    <xf numFmtId="0" fontId="12" fillId="0" borderId="32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33" xfId="0" applyFont="1" applyBorder="1">
      <alignment vertical="center"/>
    </xf>
    <xf numFmtId="0" fontId="10" fillId="3" borderId="26" xfId="0" applyFont="1" applyFill="1" applyBorder="1" applyProtection="1">
      <alignment vertical="center"/>
      <protection locked="0"/>
    </xf>
    <xf numFmtId="0" fontId="10" fillId="3" borderId="25" xfId="0" applyFont="1" applyFill="1" applyBorder="1" applyProtection="1">
      <alignment vertical="center"/>
      <protection locked="0"/>
    </xf>
    <xf numFmtId="0" fontId="10" fillId="3" borderId="12" xfId="0" applyFont="1" applyFill="1" applyBorder="1" applyProtection="1">
      <alignment vertical="center"/>
      <protection locked="0"/>
    </xf>
    <xf numFmtId="0" fontId="10" fillId="3" borderId="4" xfId="0" applyFont="1" applyFill="1" applyBorder="1" applyProtection="1">
      <alignment vertical="center"/>
      <protection locked="0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9" fontId="3" fillId="0" borderId="1" xfId="1" applyFont="1" applyBorder="1" applyProtection="1">
      <alignment vertical="center"/>
    </xf>
    <xf numFmtId="0" fontId="13" fillId="0" borderId="1" xfId="2" applyBorder="1">
      <alignment vertical="center"/>
    </xf>
    <xf numFmtId="0" fontId="0" fillId="3" borderId="9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0" borderId="1" xfId="2" applyFont="1" applyBorder="1">
      <alignment vertical="center"/>
    </xf>
    <xf numFmtId="41" fontId="13" fillId="0" borderId="1" xfId="3" applyFont="1" applyFill="1" applyBorder="1">
      <alignment vertical="center"/>
    </xf>
    <xf numFmtId="41" fontId="13" fillId="0" borderId="1" xfId="3" applyFont="1" applyBorder="1">
      <alignment vertical="center"/>
    </xf>
    <xf numFmtId="41" fontId="13" fillId="5" borderId="1" xfId="3" applyFont="1" applyFill="1" applyBorder="1">
      <alignment vertical="center"/>
    </xf>
    <xf numFmtId="0" fontId="13" fillId="5" borderId="1" xfId="2" applyFill="1" applyBorder="1">
      <alignment vertical="center"/>
    </xf>
    <xf numFmtId="49" fontId="13" fillId="5" borderId="1" xfId="2" applyNumberFormat="1" applyFill="1" applyBorder="1">
      <alignment vertical="center"/>
    </xf>
    <xf numFmtId="177" fontId="6" fillId="0" borderId="10" xfId="0" applyNumberFormat="1" applyFont="1" applyBorder="1">
      <alignment vertical="center"/>
    </xf>
    <xf numFmtId="177" fontId="6" fillId="0" borderId="3" xfId="0" applyNumberFormat="1" applyFont="1" applyBorder="1">
      <alignment vertical="center"/>
    </xf>
    <xf numFmtId="177" fontId="6" fillId="0" borderId="39" xfId="0" applyNumberFormat="1" applyFont="1" applyBorder="1">
      <alignment vertical="center"/>
    </xf>
    <xf numFmtId="177" fontId="6" fillId="0" borderId="21" xfId="0" applyNumberFormat="1" applyFont="1" applyBorder="1">
      <alignment vertical="center"/>
    </xf>
    <xf numFmtId="177" fontId="7" fillId="0" borderId="34" xfId="1" applyNumberFormat="1" applyFont="1" applyBorder="1" applyAlignment="1">
      <alignment vertical="center"/>
    </xf>
    <xf numFmtId="177" fontId="7" fillId="0" borderId="40" xfId="1" applyNumberFormat="1" applyFont="1" applyBorder="1">
      <alignment vertical="center"/>
    </xf>
    <xf numFmtId="0" fontId="0" fillId="0" borderId="0" xfId="0" applyAlignment="1">
      <alignment horizontal="center" vertical="center"/>
    </xf>
    <xf numFmtId="41" fontId="0" fillId="0" borderId="1" xfId="4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1" fontId="0" fillId="4" borderId="1" xfId="4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4" fillId="0" borderId="8" xfId="4" applyFont="1" applyBorder="1" applyProtection="1">
      <alignment vertical="center"/>
    </xf>
    <xf numFmtId="41" fontId="3" fillId="0" borderId="10" xfId="4" applyFont="1" applyBorder="1" applyProtection="1">
      <alignment vertical="center"/>
    </xf>
    <xf numFmtId="41" fontId="3" fillId="0" borderId="3" xfId="4" applyFont="1" applyBorder="1" applyProtection="1">
      <alignment vertical="center"/>
    </xf>
    <xf numFmtId="41" fontId="4" fillId="0" borderId="13" xfId="4" applyFont="1" applyBorder="1" applyProtection="1">
      <alignment vertical="center"/>
    </xf>
    <xf numFmtId="41" fontId="3" fillId="0" borderId="11" xfId="4" applyFont="1" applyBorder="1" applyProtection="1">
      <alignment vertical="center"/>
    </xf>
    <xf numFmtId="41" fontId="3" fillId="0" borderId="1" xfId="4" applyFont="1" applyBorder="1" applyProtection="1">
      <alignment vertical="center"/>
    </xf>
    <xf numFmtId="41" fontId="12" fillId="0" borderId="11" xfId="4" applyFont="1" applyBorder="1" applyProtection="1">
      <alignment vertical="center"/>
    </xf>
    <xf numFmtId="41" fontId="12" fillId="0" borderId="1" xfId="4" applyFont="1" applyBorder="1" applyProtection="1">
      <alignment vertical="center"/>
    </xf>
    <xf numFmtId="41" fontId="4" fillId="0" borderId="26" xfId="4" applyFont="1" applyBorder="1" applyProtection="1">
      <alignment vertical="center"/>
    </xf>
    <xf numFmtId="41" fontId="12" fillId="0" borderId="28" xfId="4" applyFont="1" applyBorder="1" applyProtection="1">
      <alignment vertical="center"/>
    </xf>
    <xf numFmtId="41" fontId="12" fillId="0" borderId="29" xfId="4" applyFont="1" applyBorder="1" applyProtection="1">
      <alignment vertical="center"/>
    </xf>
    <xf numFmtId="41" fontId="4" fillId="0" borderId="8" xfId="4" applyFont="1" applyBorder="1" applyAlignment="1" applyProtection="1">
      <alignment vertical="center"/>
    </xf>
    <xf numFmtId="41" fontId="12" fillId="0" borderId="30" xfId="4" applyFont="1" applyBorder="1" applyAlignment="1" applyProtection="1">
      <alignment vertical="center"/>
    </xf>
    <xf numFmtId="41" fontId="12" fillId="0" borderId="31" xfId="4" applyFont="1" applyBorder="1" applyAlignment="1" applyProtection="1">
      <alignment vertical="center"/>
    </xf>
    <xf numFmtId="41" fontId="4" fillId="0" borderId="4" xfId="4" applyFont="1" applyBorder="1" applyAlignment="1" applyProtection="1">
      <alignment vertical="center"/>
    </xf>
    <xf numFmtId="41" fontId="12" fillId="0" borderId="6" xfId="4" applyFont="1" applyBorder="1" applyAlignment="1" applyProtection="1">
      <alignment vertical="center"/>
    </xf>
    <xf numFmtId="41" fontId="12" fillId="0" borderId="7" xfId="4" applyFont="1" applyBorder="1" applyAlignment="1" applyProtection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0" fillId="3" borderId="47" xfId="0" applyFill="1" applyBorder="1">
      <alignment vertical="center"/>
    </xf>
    <xf numFmtId="0" fontId="0" fillId="3" borderId="50" xfId="0" applyFill="1" applyBorder="1">
      <alignment vertical="center"/>
    </xf>
    <xf numFmtId="0" fontId="0" fillId="0" borderId="52" xfId="0" applyBorder="1">
      <alignment vertical="center"/>
    </xf>
    <xf numFmtId="0" fontId="0" fillId="0" borderId="19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41" fontId="13" fillId="0" borderId="51" xfId="3" applyFont="1" applyFill="1" applyBorder="1">
      <alignment vertical="center"/>
    </xf>
    <xf numFmtId="41" fontId="13" fillId="0" borderId="51" xfId="3" applyFont="1" applyBorder="1">
      <alignment vertical="center"/>
    </xf>
    <xf numFmtId="41" fontId="13" fillId="5" borderId="51" xfId="3" applyFont="1" applyFill="1" applyBorder="1">
      <alignment vertical="center"/>
    </xf>
    <xf numFmtId="0" fontId="0" fillId="0" borderId="51" xfId="0" applyBorder="1">
      <alignment vertical="center"/>
    </xf>
    <xf numFmtId="0" fontId="0" fillId="0" borderId="24" xfId="0" applyBorder="1">
      <alignment vertical="center"/>
    </xf>
    <xf numFmtId="0" fontId="0" fillId="3" borderId="24" xfId="0" applyFill="1" applyBorder="1">
      <alignment vertical="center"/>
    </xf>
    <xf numFmtId="0" fontId="0" fillId="0" borderId="3" xfId="0" applyBorder="1">
      <alignment vertical="center"/>
    </xf>
    <xf numFmtId="0" fontId="0" fillId="3" borderId="4" xfId="0" applyFill="1" applyBorder="1">
      <alignment vertical="center"/>
    </xf>
    <xf numFmtId="0" fontId="0" fillId="0" borderId="58" xfId="0" applyBorder="1">
      <alignment vertical="center"/>
    </xf>
    <xf numFmtId="0" fontId="0" fillId="0" borderId="49" xfId="0" applyBorder="1">
      <alignment vertical="center"/>
    </xf>
    <xf numFmtId="41" fontId="13" fillId="0" borderId="51" xfId="4" applyFont="1" applyBorder="1">
      <alignment vertical="center"/>
    </xf>
    <xf numFmtId="41" fontId="13" fillId="0" borderId="51" xfId="4" applyFont="1" applyFill="1" applyBorder="1">
      <alignment vertical="center"/>
    </xf>
    <xf numFmtId="41" fontId="0" fillId="4" borderId="51" xfId="4" applyFont="1" applyFill="1" applyBorder="1" applyAlignment="1">
      <alignment horizontal="center" vertical="center"/>
    </xf>
    <xf numFmtId="41" fontId="0" fillId="0" borderId="51" xfId="4" applyFont="1" applyBorder="1">
      <alignment vertical="center"/>
    </xf>
    <xf numFmtId="0" fontId="0" fillId="0" borderId="52" xfId="0" applyBorder="1" applyAlignment="1">
      <alignment horizontal="center" vertical="center"/>
    </xf>
    <xf numFmtId="41" fontId="0" fillId="0" borderId="36" xfId="4" applyFont="1" applyBorder="1">
      <alignment vertical="center"/>
    </xf>
    <xf numFmtId="41" fontId="0" fillId="0" borderId="22" xfId="4" applyFont="1" applyBorder="1">
      <alignment vertical="center"/>
    </xf>
    <xf numFmtId="41" fontId="0" fillId="0" borderId="32" xfId="4" applyFont="1" applyBorder="1">
      <alignment vertical="center"/>
    </xf>
    <xf numFmtId="41" fontId="0" fillId="0" borderId="54" xfId="4" applyFont="1" applyBorder="1">
      <alignment vertical="center"/>
    </xf>
    <xf numFmtId="41" fontId="0" fillId="0" borderId="55" xfId="4" applyFont="1" applyBorder="1">
      <alignment vertical="center"/>
    </xf>
    <xf numFmtId="41" fontId="0" fillId="0" borderId="37" xfId="4" applyFont="1" applyBorder="1">
      <alignment vertical="center"/>
    </xf>
    <xf numFmtId="41" fontId="0" fillId="0" borderId="21" xfId="4" applyFont="1" applyBorder="1">
      <alignment vertical="center"/>
    </xf>
    <xf numFmtId="41" fontId="0" fillId="0" borderId="33" xfId="4" applyFont="1" applyBorder="1">
      <alignment vertical="center"/>
    </xf>
    <xf numFmtId="41" fontId="0" fillId="0" borderId="9" xfId="4" applyFont="1" applyBorder="1">
      <alignment vertical="center"/>
    </xf>
    <xf numFmtId="0" fontId="16" fillId="2" borderId="53" xfId="0" applyFont="1" applyFill="1" applyBorder="1" applyAlignment="1">
      <alignment horizontal="center" vertical="center"/>
    </xf>
    <xf numFmtId="41" fontId="12" fillId="0" borderId="38" xfId="4" applyFont="1" applyBorder="1" applyProtection="1">
      <alignment vertical="center"/>
    </xf>
    <xf numFmtId="41" fontId="12" fillId="0" borderId="39" xfId="4" applyFont="1" applyBorder="1" applyProtection="1">
      <alignment vertical="center"/>
    </xf>
    <xf numFmtId="41" fontId="3" fillId="0" borderId="20" xfId="4" applyFont="1" applyBorder="1" applyProtection="1">
      <alignment vertical="center"/>
    </xf>
    <xf numFmtId="41" fontId="3" fillId="0" borderId="55" xfId="4" applyFont="1" applyBorder="1" applyProtection="1">
      <alignment vertical="center"/>
    </xf>
    <xf numFmtId="41" fontId="12" fillId="0" borderId="55" xfId="4" applyFont="1" applyBorder="1" applyProtection="1">
      <alignment vertical="center"/>
    </xf>
    <xf numFmtId="41" fontId="12" fillId="0" borderId="57" xfId="4" applyFont="1" applyBorder="1" applyProtection="1">
      <alignment vertical="center"/>
    </xf>
    <xf numFmtId="41" fontId="12" fillId="0" borderId="32" xfId="4" applyFont="1" applyBorder="1" applyAlignment="1" applyProtection="1">
      <alignment vertical="center"/>
    </xf>
    <xf numFmtId="41" fontId="12" fillId="0" borderId="17" xfId="4" applyFont="1" applyBorder="1" applyAlignment="1" applyProtection="1">
      <alignment vertical="center"/>
    </xf>
    <xf numFmtId="41" fontId="9" fillId="0" borderId="11" xfId="4" applyFont="1" applyFill="1" applyBorder="1" applyAlignment="1">
      <alignment vertical="center"/>
    </xf>
    <xf numFmtId="41" fontId="7" fillId="0" borderId="39" xfId="4" applyFont="1" applyFill="1" applyBorder="1" applyAlignment="1">
      <alignment vertical="center"/>
    </xf>
    <xf numFmtId="41" fontId="0" fillId="0" borderId="56" xfId="4" applyFont="1" applyBorder="1">
      <alignment vertical="center"/>
    </xf>
    <xf numFmtId="41" fontId="0" fillId="0" borderId="29" xfId="4" applyFont="1" applyBorder="1">
      <alignment vertical="center"/>
    </xf>
    <xf numFmtId="41" fontId="0" fillId="0" borderId="57" xfId="4" applyFont="1" applyBorder="1">
      <alignment vertical="center"/>
    </xf>
    <xf numFmtId="41" fontId="0" fillId="0" borderId="34" xfId="4" applyFont="1" applyBorder="1">
      <alignment vertical="center"/>
    </xf>
    <xf numFmtId="41" fontId="0" fillId="0" borderId="40" xfId="4" applyFont="1" applyBorder="1">
      <alignment vertical="center"/>
    </xf>
    <xf numFmtId="41" fontId="0" fillId="0" borderId="35" xfId="4" applyFont="1" applyBorder="1">
      <alignment vertical="center"/>
    </xf>
    <xf numFmtId="0" fontId="14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13" fillId="0" borderId="1" xfId="2" applyBorder="1" applyAlignment="1">
      <alignment horizontal="left" vertical="center"/>
    </xf>
    <xf numFmtId="0" fontId="0" fillId="0" borderId="1" xfId="2" applyFont="1" applyBorder="1" applyAlignment="1">
      <alignment horizontal="left" vertical="center"/>
    </xf>
    <xf numFmtId="41" fontId="13" fillId="0" borderId="1" xfId="4" applyFont="1" applyFill="1" applyBorder="1">
      <alignment vertical="center"/>
    </xf>
    <xf numFmtId="0" fontId="0" fillId="4" borderId="51" xfId="0" applyFill="1" applyBorder="1" applyAlignment="1">
      <alignment horizontal="center" vertical="center"/>
    </xf>
    <xf numFmtId="41" fontId="0" fillId="0" borderId="10" xfId="4" applyFont="1" applyBorder="1">
      <alignment vertical="center"/>
    </xf>
    <xf numFmtId="41" fontId="0" fillId="0" borderId="3" xfId="4" applyFont="1" applyBorder="1">
      <alignment vertical="center"/>
    </xf>
    <xf numFmtId="41" fontId="0" fillId="0" borderId="11" xfId="4" applyFont="1" applyBorder="1">
      <alignment vertical="center"/>
    </xf>
    <xf numFmtId="41" fontId="0" fillId="0" borderId="28" xfId="4" applyFont="1" applyBorder="1">
      <alignment vertical="center"/>
    </xf>
    <xf numFmtId="41" fontId="0" fillId="0" borderId="41" xfId="4" applyFont="1" applyBorder="1">
      <alignment vertical="center"/>
    </xf>
    <xf numFmtId="41" fontId="13" fillId="0" borderId="1" xfId="4" applyFont="1" applyBorder="1">
      <alignment vertical="center"/>
    </xf>
    <xf numFmtId="41" fontId="13" fillId="5" borderId="1" xfId="4" applyFont="1" applyFill="1" applyBorder="1">
      <alignment vertical="center"/>
    </xf>
    <xf numFmtId="41" fontId="13" fillId="5" borderId="51" xfId="4" applyFont="1" applyFill="1" applyBorder="1">
      <alignment vertical="center"/>
    </xf>
    <xf numFmtId="41" fontId="0" fillId="0" borderId="10" xfId="4" applyFont="1" applyBorder="1" applyAlignment="1">
      <alignment horizontal="right" vertical="center"/>
    </xf>
    <xf numFmtId="41" fontId="0" fillId="0" borderId="3" xfId="4" applyFont="1" applyBorder="1" applyAlignment="1">
      <alignment horizontal="right" vertical="center"/>
    </xf>
    <xf numFmtId="41" fontId="0" fillId="0" borderId="11" xfId="4" applyFont="1" applyBorder="1" applyAlignment="1">
      <alignment horizontal="right" vertical="center"/>
    </xf>
    <xf numFmtId="41" fontId="0" fillId="0" borderId="1" xfId="4" applyFont="1" applyBorder="1" applyAlignment="1">
      <alignment horizontal="right" vertical="center"/>
    </xf>
    <xf numFmtId="41" fontId="0" fillId="0" borderId="28" xfId="4" applyFont="1" applyBorder="1" applyAlignment="1">
      <alignment horizontal="right" vertical="center"/>
    </xf>
    <xf numFmtId="41" fontId="0" fillId="0" borderId="29" xfId="4" applyFont="1" applyBorder="1" applyAlignment="1">
      <alignment horizontal="right" vertical="center"/>
    </xf>
    <xf numFmtId="41" fontId="0" fillId="0" borderId="41" xfId="4" applyFont="1" applyBorder="1" applyAlignment="1">
      <alignment horizontal="right" vertical="center"/>
    </xf>
    <xf numFmtId="41" fontId="0" fillId="0" borderId="40" xfId="4" applyFont="1" applyBorder="1" applyAlignment="1">
      <alignment horizontal="right" vertical="center"/>
    </xf>
    <xf numFmtId="41" fontId="0" fillId="0" borderId="35" xfId="4" applyFont="1" applyBorder="1" applyAlignment="1">
      <alignment horizontal="right" vertical="center"/>
    </xf>
    <xf numFmtId="41" fontId="0" fillId="0" borderId="0" xfId="4" applyFont="1">
      <alignment vertical="center"/>
    </xf>
    <xf numFmtId="41" fontId="0" fillId="3" borderId="47" xfId="4" applyFont="1" applyFill="1" applyBorder="1">
      <alignment vertical="center"/>
    </xf>
    <xf numFmtId="41" fontId="0" fillId="3" borderId="24" xfId="4" applyFont="1" applyFill="1" applyBorder="1">
      <alignment vertical="center"/>
    </xf>
    <xf numFmtId="41" fontId="0" fillId="0" borderId="51" xfId="4" applyFont="1" applyFill="1" applyBorder="1">
      <alignment vertical="center"/>
    </xf>
    <xf numFmtId="41" fontId="0" fillId="0" borderId="52" xfId="0" applyNumberFormat="1" applyBorder="1">
      <alignment vertical="center"/>
    </xf>
    <xf numFmtId="41" fontId="0" fillId="0" borderId="0" xfId="0" applyNumberFormat="1">
      <alignment vertical="center"/>
    </xf>
    <xf numFmtId="0" fontId="13" fillId="0" borderId="1" xfId="0" applyFont="1" applyBorder="1" applyAlignment="1">
      <alignment horizontal="center" vertical="center"/>
    </xf>
    <xf numFmtId="41" fontId="13" fillId="0" borderId="1" xfId="4" applyFont="1" applyBorder="1" applyAlignment="1">
      <alignment horizontal="center" vertical="center"/>
    </xf>
    <xf numFmtId="0" fontId="13" fillId="0" borderId="1" xfId="2" applyBorder="1" applyAlignment="1">
      <alignment horizontal="center" vertical="center"/>
    </xf>
    <xf numFmtId="41" fontId="13" fillId="0" borderId="1" xfId="4" applyFont="1" applyFill="1" applyBorder="1" applyAlignment="1">
      <alignment horizontal="center" vertical="center"/>
    </xf>
    <xf numFmtId="41" fontId="0" fillId="0" borderId="34" xfId="0" applyNumberFormat="1" applyBorder="1">
      <alignment vertical="center"/>
    </xf>
    <xf numFmtId="0" fontId="8" fillId="0" borderId="1" xfId="2" applyFont="1" applyBorder="1">
      <alignment vertical="center"/>
    </xf>
    <xf numFmtId="178" fontId="13" fillId="0" borderId="1" xfId="4" applyNumberFormat="1" applyFont="1" applyFill="1" applyBorder="1">
      <alignment vertical="center"/>
    </xf>
    <xf numFmtId="0" fontId="15" fillId="0" borderId="6" xfId="0" applyFont="1" applyBorder="1" applyAlignment="1">
      <alignment horizontal="center" vertical="center"/>
    </xf>
    <xf numFmtId="0" fontId="10" fillId="3" borderId="26" xfId="0" applyFont="1" applyFill="1" applyBorder="1" applyAlignment="1" applyProtection="1">
      <alignment horizontal="center" vertical="center"/>
      <protection locked="0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10" fillId="3" borderId="12" xfId="0" applyFont="1" applyFill="1" applyBorder="1" applyAlignment="1" applyProtection="1">
      <alignment horizontal="center" vertical="center"/>
      <protection locked="0"/>
    </xf>
    <xf numFmtId="0" fontId="10" fillId="3" borderId="24" xfId="0" applyFont="1" applyFill="1" applyBorder="1" applyAlignment="1" applyProtection="1">
      <alignment horizontal="center" vertical="center"/>
      <protection locked="0"/>
    </xf>
    <xf numFmtId="0" fontId="10" fillId="3" borderId="44" xfId="0" applyFont="1" applyFill="1" applyBorder="1" applyAlignment="1" applyProtection="1">
      <alignment horizontal="center" vertical="center"/>
      <protection locked="0"/>
    </xf>
    <xf numFmtId="0" fontId="10" fillId="3" borderId="45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0" fillId="3" borderId="46" xfId="0" applyFont="1" applyFill="1" applyBorder="1" applyAlignment="1" applyProtection="1">
      <alignment horizontal="center" vertical="center"/>
      <protection locked="0"/>
    </xf>
    <xf numFmtId="0" fontId="10" fillId="3" borderId="26" xfId="0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0" fontId="10" fillId="3" borderId="12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48" xfId="0" applyNumberFormat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3" borderId="2" xfId="4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29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5">
    <cellStyle name="백분율" xfId="1" builtinId="5"/>
    <cellStyle name="쉼표 [0]" xfId="4" builtinId="6"/>
    <cellStyle name="쉼표 [0] 2" xfId="3" xr:uid="{296B3D7D-CD88-4190-B0CD-C239FA9C1F9B}"/>
    <cellStyle name="표준" xfId="0" builtinId="0"/>
    <cellStyle name="표준 2" xfId="2" xr:uid="{3421BE24-3D8D-4694-A049-4115A339901E}"/>
  </cellStyles>
  <dxfs count="0"/>
  <tableStyles count="0" defaultTableStyle="TableStyleMedium2" defaultPivotStyle="PivotStyleLight16"/>
  <colors>
    <mruColors>
      <color rgb="FF79BC29"/>
      <color rgb="FF003C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>
                <a:solidFill>
                  <a:schemeClr val="tx1"/>
                </a:solidFill>
              </a:rPr>
              <a:t>월별 출고 수량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월별출고수량!$B$4</c:f>
              <c:strCache>
                <c:ptCount val="1"/>
                <c:pt idx="0">
                  <c:v>중포장(25kg)</c:v>
                </c:pt>
              </c:strCache>
            </c:strRef>
          </c:tx>
          <c:spPr>
            <a:ln w="28575" cap="rnd">
              <a:solidFill>
                <a:srgbClr val="003C7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3C76"/>
              </a:solidFill>
              <a:ln w="9525">
                <a:solidFill>
                  <a:srgbClr val="003C76"/>
                </a:solidFill>
              </a:ln>
              <a:effectLst/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003C76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월별출고수량!$C$3:$O$3</c15:sqref>
                  </c15:fullRef>
                </c:ext>
              </c:extLst>
              <c:f>월별출고수량!$D$3:$O$3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월별출고수량!$C$4:$O$4</c15:sqref>
                  </c15:fullRef>
                </c:ext>
              </c:extLst>
              <c:f>월별출고수량!$D$4:$O$4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17-4D05-8782-2EC91185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378784"/>
        <c:axId val="515378128"/>
      </c:lineChart>
      <c:lineChart>
        <c:grouping val="standard"/>
        <c:varyColors val="0"/>
        <c:ser>
          <c:idx val="1"/>
          <c:order val="1"/>
          <c:tx>
            <c:strRef>
              <c:f>월별출고수량!$B$5</c:f>
              <c:strCache>
                <c:ptCount val="1"/>
                <c:pt idx="0">
                  <c:v>대포장(톤백)</c:v>
                </c:pt>
              </c:strCache>
            </c:strRef>
          </c:tx>
          <c:spPr>
            <a:ln w="28575" cap="rnd">
              <a:solidFill>
                <a:srgbClr val="79BC2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9BC29"/>
              </a:solidFill>
              <a:ln w="9525">
                <a:solidFill>
                  <a:srgbClr val="79BC29"/>
                </a:solidFill>
              </a:ln>
              <a:effectLst/>
            </c:spPr>
          </c:marker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79BC29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월별출고수량!$C$3:$O$3</c15:sqref>
                  </c15:fullRef>
                </c:ext>
              </c:extLst>
              <c:f>월별출고수량!$D$3:$O$3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월별출고수량!$C$5:$O$5</c15:sqref>
                  </c15:fullRef>
                </c:ext>
              </c:extLst>
              <c:f>월별출고수량!$D$5:$O$5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7-4D05-8782-2EC91185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792616"/>
        <c:axId val="554797864"/>
      </c:lineChart>
      <c:catAx>
        <c:axId val="51537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5378128"/>
        <c:crosses val="autoZero"/>
        <c:auto val="1"/>
        <c:lblAlgn val="ctr"/>
        <c:lblOffset val="100"/>
        <c:noMultiLvlLbl val="0"/>
      </c:catAx>
      <c:valAx>
        <c:axId val="5153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3C76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5378784"/>
        <c:crosses val="autoZero"/>
        <c:crossBetween val="between"/>
      </c:valAx>
      <c:valAx>
        <c:axId val="554797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9BC29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4792616"/>
        <c:crosses val="max"/>
        <c:crossBetween val="between"/>
      </c:valAx>
      <c:catAx>
        <c:axId val="554792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4797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1527414948723"/>
          <c:y val="0.20844424440623771"/>
          <c:w val="0.84340286145060062"/>
          <c:h val="0.47302081657978728"/>
        </c:manualLayout>
      </c:layout>
      <c:pie3DChart>
        <c:varyColors val="1"/>
        <c:ser>
          <c:idx val="0"/>
          <c:order val="0"/>
          <c:tx>
            <c:strRef>
              <c:f>월별출고수량!$B$19</c:f>
              <c:strCache>
                <c:ptCount val="1"/>
                <c:pt idx="0">
                  <c:v>총매출대비지분율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E3-41DE-BA6C-B2FD036CEC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E3-41DE-BA6C-B2FD036CE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E3-41DE-BA6C-B2FD036CE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E3-41DE-BA6C-B2FD036CE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E3-41DE-BA6C-B2FD036CE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E3-41DE-BA6C-B2FD036CE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CE3-41DE-BA6C-B2FD036CE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CE3-41DE-BA6C-B2FD036CEC11}"/>
              </c:ext>
            </c:extLst>
          </c:dPt>
          <c:dLbls>
            <c:dLbl>
              <c:idx val="1"/>
              <c:layout>
                <c:manualLayout>
                  <c:x val="-0.19488949500593211"/>
                  <c:y val="-0.151630346017611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E3-41DE-BA6C-B2FD036CE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월별출고수량!$C$18:$K$18</c15:sqref>
                  </c15:fullRef>
                </c:ext>
              </c:extLst>
              <c:f>월별출고수량!$D$18:$K$18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
700미만</c:v>
                </c:pt>
                <c:pt idx="3">
                  <c:v>톤백 
700이상</c:v>
                </c:pt>
                <c:pt idx="4">
                  <c:v>톤백
특수</c:v>
                </c:pt>
                <c:pt idx="5">
                  <c:v>필름백 
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월별출고수량!$C$19:$K$19</c15:sqref>
                  </c15:fullRef>
                </c:ext>
              </c:extLst>
              <c:f>월별출고수량!$D$19:$K$19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9B09-4B99-8340-D7DD5C29E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90992702278987"/>
          <c:y val="0.69033046616521354"/>
          <c:w val="0.81480506039015643"/>
          <c:h val="0.29457440694005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361671282569742"/>
          <c:y val="0.22661024759160053"/>
          <c:w val="0.81458962005427871"/>
          <c:h val="0.45116401230854325"/>
        </c:manualLayout>
      </c:layout>
      <c:pie3DChart>
        <c:varyColors val="1"/>
        <c:ser>
          <c:idx val="0"/>
          <c:order val="0"/>
          <c:tx>
            <c:strRef>
              <c:f>월별출고수량!$B$20</c:f>
              <c:strCache>
                <c:ptCount val="1"/>
                <c:pt idx="0">
                  <c:v>총이익대비지분율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B9-4747-BBC7-858E0B960A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B9-4747-BBC7-858E0B960A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B9-4747-BBC7-858E0B960A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B9-4747-BBC7-858E0B960A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B9-4747-BBC7-858E0B960A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B9-4747-BBC7-858E0B960A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B9-4747-BBC7-858E0B960A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B9-4747-BBC7-858E0B960A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월별출고수량!$C$18:$J$18</c15:sqref>
                  </c15:fullRef>
                </c:ext>
              </c:extLst>
              <c:f>월별출고수량!$D$18:$J$18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
700미만</c:v>
                </c:pt>
                <c:pt idx="3">
                  <c:v>톤백 
700이상</c:v>
                </c:pt>
                <c:pt idx="4">
                  <c:v>톤백
특수</c:v>
                </c:pt>
                <c:pt idx="5">
                  <c:v>필름백 
소형백</c:v>
                </c:pt>
                <c:pt idx="6">
                  <c:v>부자재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월별출고수량!$C$20:$J$20</c15:sqref>
                  </c15:fullRef>
                </c:ext>
              </c:extLst>
              <c:f>월별출고수량!$D$20:$J$20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3D8D-405E-83E4-F7C721456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46215118532697E-2"/>
          <c:y val="0.67689104308538195"/>
          <c:w val="0.87385427889578915"/>
          <c:h val="0.31560604061279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월별출고수량!$B$34:$C$34</c:f>
              <c:strCache>
                <c:ptCount val="2"/>
                <c:pt idx="0">
                  <c:v>종목별 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월별출고수량!$D$33:$J$33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
700미만</c:v>
                </c:pt>
                <c:pt idx="3">
                  <c:v>톤백 
700이상</c:v>
                </c:pt>
                <c:pt idx="4">
                  <c:v>톤백
특수</c:v>
                </c:pt>
                <c:pt idx="5">
                  <c:v>필름백 
소형백</c:v>
                </c:pt>
                <c:pt idx="6">
                  <c:v>부자재</c:v>
                </c:pt>
              </c:strCache>
            </c:strRef>
          </c:cat>
          <c:val>
            <c:numRef>
              <c:f>월별출고수량!$D$34:$J$34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A-4768-BBC0-26311C29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221456"/>
        <c:axId val="550229328"/>
      </c:barChart>
      <c:catAx>
        <c:axId val="55022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0229328"/>
        <c:crosses val="autoZero"/>
        <c:auto val="1"/>
        <c:lblAlgn val="ctr"/>
        <c:lblOffset val="100"/>
        <c:noMultiLvlLbl val="0"/>
      </c:catAx>
      <c:valAx>
        <c:axId val="5502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022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매출분포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'1월'!$M$4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'1월'!$K$5:$K$12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'1월'!$M$5:$M$12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4-40AB-A82C-38DB35ED7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이익분포</a:t>
            </a:r>
            <a:endParaRPr lang="en-US" altLang="ko-KR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'1월'!$N$4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'1월'!$K$5:$K$11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'1월'!$N$5:$N$11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0-4285-9605-1EBE8AD2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2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'2월'!$K$4:$K$11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'2월'!$M$4:$M$11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B-4A6E-95B7-8D8F4894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2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'2월'!$K$4:$K$10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'2월'!$N$4:$N$10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1-496B-9CDD-600F39AE4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3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'3월'!$K$4:$K$11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'3월'!$M$4:$M$11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6-4526-ACE0-ACA7CA169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3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'3월'!$K$4:$K$10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'3월'!$N$4:$N$10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2-4EE7-AA54-1FCD13F26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4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'4월'!$K$4:$K$11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'4월'!$M$4:$M$11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F-4112-AFC7-12F1BD1AE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4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</a:t>
            </a:r>
            <a:r>
              <a:rPr lang="ko-KR" alt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'4월'!$K$4:$K$10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'4월'!$N$4:$N$10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1-4ABC-B29A-809B5D3D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5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'5월'!$K$4:$K$11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'5월'!$M$4:$M$11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C-4998-956A-ED15508DF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5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'5월'!$K$4:$K$10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'5월'!$N$4:$N$10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9-4A4F-AED1-9436BCA9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6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'6월'!$K$4:$K$11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'6월'!$M$4:$M$11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E-4C46-86C0-81C6A4D9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6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'6월'!$K$4:$K$10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'6월'!$N$4:$N$10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3-4AC3-8541-F16F77C39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7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'7월'!$K$4:$K$11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'7월'!$M$4:$M$11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F-40DC-8575-C410BDA58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7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'7월'!$K$4:$K$10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'7월'!$N$4:$N$10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C-4DF2-9748-FACAC7956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8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'8월'!$M$3</c:f>
              <c:strCache>
                <c:ptCount val="1"/>
                <c:pt idx="0">
                  <c:v> 총매출 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'8월'!$K$4:$K$11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'8월'!$M$4:$M$11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CB3-ABB8-8E20705CB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8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'8월'!$N$3</c:f>
              <c:strCache>
                <c:ptCount val="1"/>
                <c:pt idx="0">
                  <c:v> 총이윤 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'8월'!$K$4:$K$10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'8월'!$N$4:$N$10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E-485E-B666-E4084021B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9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'9월'!$K$4:$K$11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'9월'!$M$4:$M$11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7-4FC3-9A55-DBA58FED5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9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'9월'!$K$4:$K$10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'9월'!$N$4:$N$10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F-4A66-95AF-DC9B82F44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10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'10월'!$K$4:$K$11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'10월'!$M$4:$M$11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0-4FFC-AD1B-ABBC47E4D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10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'10월'!$K$4:$K$10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'10월'!$N$4:$N$10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A-44DB-897F-ADE730C6A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11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'11월'!$K$4:$K$11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'11월'!$M$4:$M$11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8-45F6-9251-71B9977AA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11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'11월'!$K$4:$K$10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'11월'!$N$4:$N$10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E-413F-BAED-6DA5D59FB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12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매출분포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'12월'!$M$3</c:f>
              <c:strCache>
                <c:ptCount val="1"/>
                <c:pt idx="0">
                  <c:v>총매출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'12월'!$K$4:$K$11</c:f>
              <c:strCache>
                <c:ptCount val="8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  <c:pt idx="7">
                  <c:v>기타매출</c:v>
                </c:pt>
              </c:strCache>
            </c:strRef>
          </c:cat>
          <c:val>
            <c:numRef>
              <c:f>'12월'!$M$4:$M$11</c:f>
              <c:numCache>
                <c:formatCode>_(* #,##0_);_(* \(#,##0\);_(*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A-4C66-A76E-C34EE032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5464"/>
        <c:axId val="505545296"/>
      </c:barChart>
      <c:catAx>
        <c:axId val="505555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45296"/>
        <c:crosses val="autoZero"/>
        <c:auto val="1"/>
        <c:lblAlgn val="ctr"/>
        <c:lblOffset val="100"/>
        <c:noMultiLvlLbl val="0"/>
      </c:catAx>
      <c:valAx>
        <c:axId val="50554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5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chemeClr val="tx1">
                    <a:lumMod val="95000"/>
                    <a:lumOff val="5000"/>
                  </a:schemeClr>
                </a:solidFill>
              </a:rPr>
              <a:t>12</a:t>
            </a:r>
            <a:r>
              <a:rPr lang="ko-KR" alt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월 </a:t>
            </a:r>
            <a:r>
              <a:rPr lang="ko-KR" altLang="ko-KR" sz="1400" b="1" i="0" u="none" strike="noStrike" baseline="0">
                <a:effectLst/>
              </a:rPr>
              <a:t>이익분포</a:t>
            </a:r>
            <a:endParaRPr lang="ko-KR" alt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'12월'!$N$3</c:f>
              <c:strCache>
                <c:ptCount val="1"/>
                <c:pt idx="0">
                  <c:v>총이윤</c:v>
                </c:pt>
              </c:strCache>
            </c:strRef>
          </c:tx>
          <c:spPr>
            <a:solidFill>
              <a:srgbClr val="79BC29"/>
            </a:solidFill>
            <a:ln>
              <a:noFill/>
            </a:ln>
            <a:effectLst/>
          </c:spPr>
          <c:invertIfNegative val="0"/>
          <c:cat>
            <c:strRef>
              <c:f>'12월'!$K$4:$K$10</c:f>
              <c:strCache>
                <c:ptCount val="7"/>
                <c:pt idx="0">
                  <c:v>25kg</c:v>
                </c:pt>
                <c:pt idx="1">
                  <c:v>25kgAL</c:v>
                </c:pt>
                <c:pt idx="2">
                  <c:v>톤백 700미만</c:v>
                </c:pt>
                <c:pt idx="3">
                  <c:v>톤백 700이상</c:v>
                </c:pt>
                <c:pt idx="4">
                  <c:v>톤백 특수</c:v>
                </c:pt>
                <c:pt idx="5">
                  <c:v>필름백 소형백</c:v>
                </c:pt>
                <c:pt idx="6">
                  <c:v>부자재</c:v>
                </c:pt>
              </c:strCache>
            </c:strRef>
          </c:cat>
          <c:val>
            <c:numRef>
              <c:f>'12월'!$N$4:$N$10</c:f>
              <c:numCache>
                <c:formatCode>_(* #,##0_);_(* \(#,##0\);_(* "-"_);_(@_)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B-402B-B944-4F64708BE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556120"/>
        <c:axId val="511443040"/>
      </c:barChart>
      <c:catAx>
        <c:axId val="50555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1443040"/>
        <c:crosses val="autoZero"/>
        <c:auto val="1"/>
        <c:lblAlgn val="ctr"/>
        <c:lblOffset val="100"/>
        <c:noMultiLvlLbl val="0"/>
      </c:catAx>
      <c:valAx>
        <c:axId val="5114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555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163285</xdr:colOff>
      <xdr:row>0</xdr:row>
      <xdr:rowOff>68035</xdr:rowOff>
    </xdr:from>
    <xdr:to>
      <xdr:col>3</xdr:col>
      <xdr:colOff>176134</xdr:colOff>
      <xdr:row>0</xdr:row>
      <xdr:rowOff>695924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56D85B0-1551-4B24-956B-B1BF1B8E9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14" y="68035"/>
          <a:ext cx="1604884" cy="627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8283</xdr:colOff>
      <xdr:row>5</xdr:row>
      <xdr:rowOff>119270</xdr:rowOff>
    </xdr:from>
    <xdr:to>
      <xdr:col>14</xdr:col>
      <xdr:colOff>364435</xdr:colOff>
      <xdr:row>16</xdr:row>
      <xdr:rowOff>165652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D322EA4-191F-4F98-B69B-FDDF5B777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241789</xdr:colOff>
      <xdr:row>20</xdr:row>
      <xdr:rowOff>62438</xdr:rowOff>
    </xdr:from>
    <xdr:to>
      <xdr:col>8</xdr:col>
      <xdr:colOff>0</xdr:colOff>
      <xdr:row>31</xdr:row>
      <xdr:rowOff>131357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8D1DF9D-B0C4-49B6-B3D1-B2F4B5EF0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14654</xdr:colOff>
      <xdr:row>20</xdr:row>
      <xdr:rowOff>67855</xdr:rowOff>
    </xdr:from>
    <xdr:to>
      <xdr:col>15</xdr:col>
      <xdr:colOff>29309</xdr:colOff>
      <xdr:row>31</xdr:row>
      <xdr:rowOff>102578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527CA6FB-4127-4A0B-A90C-5156FD4A8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322386</xdr:colOff>
      <xdr:row>34</xdr:row>
      <xdr:rowOff>87922</xdr:rowOff>
    </xdr:from>
    <xdr:to>
      <xdr:col>13</xdr:col>
      <xdr:colOff>0</xdr:colOff>
      <xdr:row>41</xdr:row>
      <xdr:rowOff>161192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F51996A-7112-42DF-ACC3-554815C1E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15</xdr:row>
      <xdr:rowOff>19050</xdr:rowOff>
    </xdr:from>
    <xdr:to>
      <xdr:col>14</xdr:col>
      <xdr:colOff>199802</xdr:colOff>
      <xdr:row>30</xdr:row>
      <xdr:rowOff>190499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DD4BB42-4071-4770-BD9A-9ECF63612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32</xdr:row>
      <xdr:rowOff>34924</xdr:rowOff>
    </xdr:from>
    <xdr:to>
      <xdr:col>14</xdr:col>
      <xdr:colOff>190500</xdr:colOff>
      <xdr:row>46</xdr:row>
      <xdr:rowOff>203538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05370CD-C90D-4C66-9E62-8C2E3F52D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38100</xdr:colOff>
      <xdr:row>2</xdr:row>
      <xdr:rowOff>66675</xdr:rowOff>
    </xdr:from>
    <xdr:to>
      <xdr:col>9</xdr:col>
      <xdr:colOff>897431</xdr:colOff>
      <xdr:row>3</xdr:row>
      <xdr:rowOff>180975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9C23B6-E240-47BF-A8F2-D28AE15AC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485775"/>
          <a:ext cx="859331" cy="333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47625</xdr:rowOff>
    </xdr:from>
    <xdr:to>
      <xdr:col>14</xdr:col>
      <xdr:colOff>199802</xdr:colOff>
      <xdr:row>29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015A00F-2F0E-412D-8B3C-8D746131A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45</xdr:row>
      <xdr:rowOff>13020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96ED02-4CCB-42D8-84FF-793AACCF8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38100</xdr:colOff>
      <xdr:row>1</xdr:row>
      <xdr:rowOff>47625</xdr:rowOff>
    </xdr:from>
    <xdr:to>
      <xdr:col>9</xdr:col>
      <xdr:colOff>897431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723D238-1800-49A7-8910-BDD365EC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0" y="466725"/>
          <a:ext cx="859331" cy="333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19051</xdr:rowOff>
    </xdr:from>
    <xdr:to>
      <xdr:col>14</xdr:col>
      <xdr:colOff>199802</xdr:colOff>
      <xdr:row>28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0E9ED35-5C1D-4E24-A316-23BECC5A5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45</xdr:row>
      <xdr:rowOff>3504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866E6C3-6643-4BC9-B34C-8BA2CFDE8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9525</xdr:colOff>
      <xdr:row>1</xdr:row>
      <xdr:rowOff>47625</xdr:rowOff>
    </xdr:from>
    <xdr:to>
      <xdr:col>9</xdr:col>
      <xdr:colOff>868856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B6C812-B24A-45D1-94ED-A870E77A6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5050" y="504825"/>
          <a:ext cx="859331" cy="3333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19051</xdr:rowOff>
    </xdr:from>
    <xdr:to>
      <xdr:col>14</xdr:col>
      <xdr:colOff>199802</xdr:colOff>
      <xdr:row>29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F545A52-72F4-43B3-B259-DFDEF9434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34923</xdr:rowOff>
    </xdr:from>
    <xdr:to>
      <xdr:col>14</xdr:col>
      <xdr:colOff>190500</xdr:colOff>
      <xdr:row>45</xdr:row>
      <xdr:rowOff>22536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08A051-264E-4237-BE20-C686153A8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28575</xdr:colOff>
      <xdr:row>1</xdr:row>
      <xdr:rowOff>57150</xdr:rowOff>
    </xdr:from>
    <xdr:to>
      <xdr:col>9</xdr:col>
      <xdr:colOff>887906</xdr:colOff>
      <xdr:row>2</xdr:row>
      <xdr:rowOff>171450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9D14147-06E6-451F-B904-E234BD01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1675" y="542925"/>
          <a:ext cx="859331" cy="333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19050</xdr:rowOff>
    </xdr:from>
    <xdr:to>
      <xdr:col>14</xdr:col>
      <xdr:colOff>199802</xdr:colOff>
      <xdr:row>29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60339B9-B518-4867-9BD6-437B7AA76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45</xdr:row>
      <xdr:rowOff>22538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055A6C6-D34C-48AE-B97D-3F8DF038D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28575</xdr:colOff>
      <xdr:row>1</xdr:row>
      <xdr:rowOff>47625</xdr:rowOff>
    </xdr:from>
    <xdr:to>
      <xdr:col>9</xdr:col>
      <xdr:colOff>887906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4777EF0-7393-4173-AACC-8A89B0155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7775" y="466725"/>
          <a:ext cx="859331" cy="3333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19050</xdr:rowOff>
    </xdr:from>
    <xdr:to>
      <xdr:col>14</xdr:col>
      <xdr:colOff>199802</xdr:colOff>
      <xdr:row>30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56D5EBB-EDFE-4492-8DA9-5556A5AA3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32</xdr:row>
      <xdr:rowOff>34924</xdr:rowOff>
    </xdr:from>
    <xdr:to>
      <xdr:col>14</xdr:col>
      <xdr:colOff>190500</xdr:colOff>
      <xdr:row>47</xdr:row>
      <xdr:rowOff>22538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3DEBD52-59E4-4E24-825D-3508F9D79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28575</xdr:colOff>
      <xdr:row>1</xdr:row>
      <xdr:rowOff>47625</xdr:rowOff>
    </xdr:from>
    <xdr:to>
      <xdr:col>9</xdr:col>
      <xdr:colOff>887906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22E787-0132-42D6-ACE0-410361102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628650"/>
          <a:ext cx="859331" cy="3333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19051</xdr:rowOff>
    </xdr:from>
    <xdr:to>
      <xdr:col>14</xdr:col>
      <xdr:colOff>199802</xdr:colOff>
      <xdr:row>28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DCBC68D-A7CA-4489-8143-3463B8872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45</xdr:row>
      <xdr:rowOff>3504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EC9A9E1-A986-49DB-8BBE-39AC8D25D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19050</xdr:colOff>
      <xdr:row>1</xdr:row>
      <xdr:rowOff>47625</xdr:rowOff>
    </xdr:from>
    <xdr:to>
      <xdr:col>9</xdr:col>
      <xdr:colOff>878381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5EB2F2B-4872-4096-8D34-3ADB7B88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9775" y="533400"/>
          <a:ext cx="859331" cy="333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19050</xdr:rowOff>
    </xdr:from>
    <xdr:to>
      <xdr:col>14</xdr:col>
      <xdr:colOff>199802</xdr:colOff>
      <xdr:row>28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906ED5-FFF2-4CAE-8634-3F0AAD10A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45</xdr:row>
      <xdr:rowOff>3506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9FA077D-8CDE-4C43-9EB7-5D1548F6E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19050</xdr:colOff>
      <xdr:row>1</xdr:row>
      <xdr:rowOff>47625</xdr:rowOff>
    </xdr:from>
    <xdr:to>
      <xdr:col>9</xdr:col>
      <xdr:colOff>878381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FBD602B-91BD-43DC-BD09-9BDF54F2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542925"/>
          <a:ext cx="859331" cy="3333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19050</xdr:rowOff>
    </xdr:from>
    <xdr:to>
      <xdr:col>14</xdr:col>
      <xdr:colOff>199802</xdr:colOff>
      <xdr:row>28</xdr:row>
      <xdr:rowOff>209549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3588552-5590-4BED-A691-27AC60C03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45</xdr:row>
      <xdr:rowOff>13020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2165055-7B72-43AF-82D7-BCEEEFFD5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19050</xdr:colOff>
      <xdr:row>1</xdr:row>
      <xdr:rowOff>57150</xdr:rowOff>
    </xdr:from>
    <xdr:to>
      <xdr:col>9</xdr:col>
      <xdr:colOff>878381</xdr:colOff>
      <xdr:row>2</xdr:row>
      <xdr:rowOff>171450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5499215-4444-444E-8E21-F10052CB2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542925"/>
          <a:ext cx="859331" cy="3333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19051</xdr:rowOff>
    </xdr:from>
    <xdr:to>
      <xdr:col>14</xdr:col>
      <xdr:colOff>199802</xdr:colOff>
      <xdr:row>29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9AADCB6-1E67-41A4-BFAC-FB41A31DA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44</xdr:row>
      <xdr:rowOff>22538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C56BE79-1A89-445F-B015-E1BBAEED8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19050</xdr:colOff>
      <xdr:row>1</xdr:row>
      <xdr:rowOff>47625</xdr:rowOff>
    </xdr:from>
    <xdr:to>
      <xdr:col>9</xdr:col>
      <xdr:colOff>878381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5E798A9-0FA8-41D4-9619-D483B359A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66725"/>
          <a:ext cx="859331" cy="3333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19050</xdr:rowOff>
    </xdr:from>
    <xdr:to>
      <xdr:col>14</xdr:col>
      <xdr:colOff>199802</xdr:colOff>
      <xdr:row>30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8E83CBC-6467-457D-BA69-0913457E2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31</xdr:row>
      <xdr:rowOff>34924</xdr:rowOff>
    </xdr:from>
    <xdr:to>
      <xdr:col>14</xdr:col>
      <xdr:colOff>190500</xdr:colOff>
      <xdr:row>46</xdr:row>
      <xdr:rowOff>32055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7B7704C-04DE-46DE-9DFD-DF5EE7B25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28575</xdr:colOff>
      <xdr:row>1</xdr:row>
      <xdr:rowOff>47625</xdr:rowOff>
    </xdr:from>
    <xdr:to>
      <xdr:col>9</xdr:col>
      <xdr:colOff>887906</xdr:colOff>
      <xdr:row>2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6A86F79-B825-4424-91C1-D8F1A27A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542925"/>
          <a:ext cx="859331" cy="3333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14</xdr:row>
      <xdr:rowOff>19051</xdr:rowOff>
    </xdr:from>
    <xdr:to>
      <xdr:col>14</xdr:col>
      <xdr:colOff>199802</xdr:colOff>
      <xdr:row>28</xdr:row>
      <xdr:rowOff>180975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49F3BB2-B313-44B4-B041-8B480DEA5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</xdr:colOff>
      <xdr:row>30</xdr:row>
      <xdr:rowOff>34924</xdr:rowOff>
    </xdr:from>
    <xdr:to>
      <xdr:col>14</xdr:col>
      <xdr:colOff>190500</xdr:colOff>
      <xdr:row>44</xdr:row>
      <xdr:rowOff>194022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59A69ED-05FD-4B53-A4E3-1E4DC8E15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28575</xdr:colOff>
      <xdr:row>1</xdr:row>
      <xdr:rowOff>38100</xdr:rowOff>
    </xdr:from>
    <xdr:to>
      <xdr:col>9</xdr:col>
      <xdr:colOff>887906</xdr:colOff>
      <xdr:row>2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AB3C06B-0728-4E03-83CF-DE97BFB13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514350"/>
          <a:ext cx="859331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7ABA-5C20-4A8E-9ED8-379BD6A7F41C}">
  <sheetPr>
    <pageSetUpPr fitToPage="1"/>
  </sheetPr>
  <dimension ref="B1:T52"/>
  <sheetViews>
    <sheetView tabSelected="1" zoomScale="70" zoomScaleNormal="70" zoomScaleSheetLayoutView="40" zoomScalePageLayoutView="70" workbookViewId="0">
      <selection activeCell="R6" sqref="R6"/>
    </sheetView>
  </sheetViews>
  <sheetFormatPr defaultRowHeight="16.5" x14ac:dyDescent="0.3"/>
  <cols>
    <col min="1" max="1" width="5.625" customWidth="1"/>
    <col min="3" max="3" width="11.875" customWidth="1"/>
    <col min="5" max="5" width="16.5" customWidth="1"/>
    <col min="6" max="17" width="16.75" customWidth="1"/>
    <col min="18" max="18" width="17.5" customWidth="1"/>
    <col min="19" max="19" width="11.375" customWidth="1"/>
    <col min="20" max="20" width="5.75" customWidth="1"/>
    <col min="23" max="23" width="11.125" customWidth="1"/>
  </cols>
  <sheetData>
    <row r="1" spans="2:20" ht="72.75" customHeight="1" thickBot="1" x14ac:dyDescent="0.35">
      <c r="B1" s="166" t="s">
        <v>0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2" spans="2:20" ht="60" customHeight="1" thickBot="1" x14ac:dyDescent="0.35">
      <c r="B2" s="80" t="s">
        <v>1</v>
      </c>
      <c r="C2" s="80" t="s">
        <v>2</v>
      </c>
      <c r="D2" s="81" t="s">
        <v>3</v>
      </c>
      <c r="E2" s="80" t="s">
        <v>4</v>
      </c>
      <c r="F2" s="80" t="s">
        <v>5</v>
      </c>
      <c r="G2" s="80" t="s">
        <v>6</v>
      </c>
      <c r="H2" s="80" t="s">
        <v>7</v>
      </c>
      <c r="I2" s="80" t="s">
        <v>8</v>
      </c>
      <c r="J2" s="80" t="s">
        <v>9</v>
      </c>
      <c r="K2" s="80" t="s">
        <v>10</v>
      </c>
      <c r="L2" s="80" t="s">
        <v>11</v>
      </c>
      <c r="M2" s="80" t="s">
        <v>12</v>
      </c>
      <c r="N2" s="80" t="s">
        <v>13</v>
      </c>
      <c r="O2" s="80" t="s">
        <v>14</v>
      </c>
      <c r="P2" s="80" t="s">
        <v>15</v>
      </c>
      <c r="Q2" s="80" t="s">
        <v>16</v>
      </c>
      <c r="R2" s="113" t="s">
        <v>17</v>
      </c>
      <c r="S2" s="82" t="s">
        <v>18</v>
      </c>
      <c r="T2" s="1"/>
    </row>
    <row r="3" spans="2:20" s="21" customFormat="1" ht="31.5" customHeight="1" x14ac:dyDescent="0.3">
      <c r="B3" s="170" t="s">
        <v>19</v>
      </c>
      <c r="C3" s="170" t="s">
        <v>20</v>
      </c>
      <c r="D3" s="23" t="s">
        <v>21</v>
      </c>
      <c r="E3" s="63">
        <f>SUM(F3:Q3)</f>
        <v>0</v>
      </c>
      <c r="F3" s="64">
        <f>'1월'!L5</f>
        <v>0</v>
      </c>
      <c r="G3" s="65">
        <f>'2월'!$L$4</f>
        <v>0</v>
      </c>
      <c r="H3" s="65">
        <f>'3월'!$L$4</f>
        <v>0</v>
      </c>
      <c r="I3" s="65">
        <f>'4월'!$L$4</f>
        <v>0</v>
      </c>
      <c r="J3" s="65">
        <f>'5월'!$L$4</f>
        <v>0</v>
      </c>
      <c r="K3" s="65">
        <f>'6월'!$L$4</f>
        <v>0</v>
      </c>
      <c r="L3" s="65">
        <f>'7월'!$L$4</f>
        <v>0</v>
      </c>
      <c r="M3" s="65">
        <f>'8월'!$L$4</f>
        <v>0</v>
      </c>
      <c r="N3" s="65">
        <f>'9월'!$L$4</f>
        <v>0</v>
      </c>
      <c r="O3" s="65">
        <f>'10월'!$L$4</f>
        <v>0</v>
      </c>
      <c r="P3" s="65">
        <f>'11월'!$L$4</f>
        <v>0</v>
      </c>
      <c r="Q3" s="116">
        <f>'12월'!$L$4</f>
        <v>0</v>
      </c>
      <c r="R3" s="64">
        <f>AVERAGE(F3:Q3)</f>
        <v>0</v>
      </c>
      <c r="S3" s="37"/>
    </row>
    <row r="4" spans="2:20" s="21" customFormat="1" ht="31.5" customHeight="1" x14ac:dyDescent="0.3">
      <c r="B4" s="168"/>
      <c r="C4" s="168"/>
      <c r="D4" s="24" t="s">
        <v>22</v>
      </c>
      <c r="E4" s="66">
        <f t="shared" ref="E4:E32" si="0">SUM(F4:Q4)</f>
        <v>0</v>
      </c>
      <c r="F4" s="67">
        <f>'1월'!M5</f>
        <v>0</v>
      </c>
      <c r="G4" s="68">
        <f>'2월'!$M4</f>
        <v>0</v>
      </c>
      <c r="H4" s="68">
        <f>'3월'!$M4</f>
        <v>0</v>
      </c>
      <c r="I4" s="68">
        <f>'4월'!$M4</f>
        <v>0</v>
      </c>
      <c r="J4" s="68">
        <f>'5월'!$M4</f>
        <v>0</v>
      </c>
      <c r="K4" s="68">
        <f>'6월'!$M4</f>
        <v>0</v>
      </c>
      <c r="L4" s="68">
        <f>'7월'!$M4</f>
        <v>0</v>
      </c>
      <c r="M4" s="68">
        <f>'8월'!$M4</f>
        <v>0</v>
      </c>
      <c r="N4" s="68">
        <f>'9월'!$M4</f>
        <v>0</v>
      </c>
      <c r="O4" s="68">
        <f>'10월'!$M4</f>
        <v>0</v>
      </c>
      <c r="P4" s="68">
        <f>'11월'!$M4</f>
        <v>0</v>
      </c>
      <c r="Q4" s="117">
        <f>'12월'!$M4</f>
        <v>0</v>
      </c>
      <c r="R4" s="67">
        <f>AVERAGE(F4:Q4)</f>
        <v>0</v>
      </c>
      <c r="S4" s="39" t="e">
        <f>E4/E33</f>
        <v>#DIV/0!</v>
      </c>
    </row>
    <row r="5" spans="2:20" s="21" customFormat="1" ht="31.5" customHeight="1" x14ac:dyDescent="0.3">
      <c r="B5" s="168"/>
      <c r="C5" s="169"/>
      <c r="D5" s="24" t="s">
        <v>23</v>
      </c>
      <c r="E5" s="66">
        <f>SUM(F5:Q5)</f>
        <v>0</v>
      </c>
      <c r="F5" s="67">
        <f>'1월'!N5</f>
        <v>0</v>
      </c>
      <c r="G5" s="68">
        <f>'2월'!$N4</f>
        <v>0</v>
      </c>
      <c r="H5" s="68">
        <f>'3월'!$N4</f>
        <v>0</v>
      </c>
      <c r="I5" s="68">
        <f>'4월'!$N4</f>
        <v>0</v>
      </c>
      <c r="J5" s="68">
        <f>'5월'!$N4</f>
        <v>0</v>
      </c>
      <c r="K5" s="68">
        <f>'6월'!$N4</f>
        <v>0</v>
      </c>
      <c r="L5" s="68">
        <f>'7월'!$N4</f>
        <v>0</v>
      </c>
      <c r="M5" s="68">
        <f>'8월'!$N4</f>
        <v>0</v>
      </c>
      <c r="N5" s="68">
        <f>'9월'!$N4</f>
        <v>0</v>
      </c>
      <c r="O5" s="68">
        <f>'10월'!$N4</f>
        <v>0</v>
      </c>
      <c r="P5" s="68">
        <f>'11월'!$N4</f>
        <v>0</v>
      </c>
      <c r="Q5" s="117">
        <f>'12월'!$N4</f>
        <v>0</v>
      </c>
      <c r="R5" s="67">
        <f>AVERAGE(F5:Q5)</f>
        <v>0</v>
      </c>
      <c r="S5" s="39" t="e">
        <f>E5/E34</f>
        <v>#DIV/0!</v>
      </c>
    </row>
    <row r="6" spans="2:20" s="21" customFormat="1" ht="31.5" customHeight="1" x14ac:dyDescent="0.3">
      <c r="B6" s="168"/>
      <c r="C6" s="167" t="s">
        <v>24</v>
      </c>
      <c r="D6" s="24" t="s">
        <v>21</v>
      </c>
      <c r="E6" s="66">
        <f t="shared" si="0"/>
        <v>0</v>
      </c>
      <c r="F6" s="67">
        <f>'1월'!L6</f>
        <v>0</v>
      </c>
      <c r="G6" s="68">
        <f>'2월'!$L5</f>
        <v>0</v>
      </c>
      <c r="H6" s="68">
        <f>'3월'!$L5</f>
        <v>0</v>
      </c>
      <c r="I6" s="68">
        <f>'4월'!$L5</f>
        <v>0</v>
      </c>
      <c r="J6" s="68">
        <f>'5월'!$L5</f>
        <v>0</v>
      </c>
      <c r="K6" s="68">
        <f>'6월'!$L5</f>
        <v>0</v>
      </c>
      <c r="L6" s="68">
        <f>'7월'!$L5</f>
        <v>0</v>
      </c>
      <c r="M6" s="68">
        <f>'8월'!$L5</f>
        <v>0</v>
      </c>
      <c r="N6" s="68">
        <f>'9월'!$L5</f>
        <v>0</v>
      </c>
      <c r="O6" s="68">
        <f>'10월'!$L5</f>
        <v>0</v>
      </c>
      <c r="P6" s="68">
        <f>'11월'!$L5</f>
        <v>0</v>
      </c>
      <c r="Q6" s="117">
        <f>'12월'!$L5</f>
        <v>0</v>
      </c>
      <c r="R6" s="67">
        <f t="shared" ref="R6:R32" si="1">AVERAGE(F6:Q6)</f>
        <v>0</v>
      </c>
      <c r="S6" s="39"/>
    </row>
    <row r="7" spans="2:20" s="21" customFormat="1" ht="31.5" customHeight="1" x14ac:dyDescent="0.3">
      <c r="B7" s="168"/>
      <c r="C7" s="168"/>
      <c r="D7" s="24" t="s">
        <v>22</v>
      </c>
      <c r="E7" s="66">
        <f t="shared" si="0"/>
        <v>0</v>
      </c>
      <c r="F7" s="67">
        <f>'1월'!M6</f>
        <v>0</v>
      </c>
      <c r="G7" s="68">
        <f>'2월'!$M5</f>
        <v>0</v>
      </c>
      <c r="H7" s="68">
        <f>'3월'!$M5</f>
        <v>0</v>
      </c>
      <c r="I7" s="68">
        <f>'4월'!$M5</f>
        <v>0</v>
      </c>
      <c r="J7" s="68">
        <f>'5월'!$M5</f>
        <v>0</v>
      </c>
      <c r="K7" s="68">
        <f>'6월'!$M5</f>
        <v>0</v>
      </c>
      <c r="L7" s="68">
        <f>'7월'!$M5</f>
        <v>0</v>
      </c>
      <c r="M7" s="68">
        <f>'8월'!$M5</f>
        <v>0</v>
      </c>
      <c r="N7" s="68">
        <f>'9월'!$M5</f>
        <v>0</v>
      </c>
      <c r="O7" s="68">
        <f>'10월'!$M5</f>
        <v>0</v>
      </c>
      <c r="P7" s="68">
        <f>'11월'!$M5</f>
        <v>0</v>
      </c>
      <c r="Q7" s="117">
        <f>'12월'!$M5</f>
        <v>0</v>
      </c>
      <c r="R7" s="67">
        <f t="shared" si="1"/>
        <v>0</v>
      </c>
      <c r="S7" s="39" t="e">
        <f>E7/E33</f>
        <v>#DIV/0!</v>
      </c>
    </row>
    <row r="8" spans="2:20" s="21" customFormat="1" ht="31.5" customHeight="1" x14ac:dyDescent="0.3">
      <c r="B8" s="169"/>
      <c r="C8" s="169"/>
      <c r="D8" s="24" t="s">
        <v>23</v>
      </c>
      <c r="E8" s="66">
        <f t="shared" si="0"/>
        <v>0</v>
      </c>
      <c r="F8" s="67">
        <f>'1월'!N6</f>
        <v>0</v>
      </c>
      <c r="G8" s="68">
        <f>'2월'!$N5</f>
        <v>0</v>
      </c>
      <c r="H8" s="68">
        <f>'3월'!$N5</f>
        <v>0</v>
      </c>
      <c r="I8" s="68">
        <f>'4월'!$N5</f>
        <v>0</v>
      </c>
      <c r="J8" s="68">
        <f>'5월'!$N5</f>
        <v>0</v>
      </c>
      <c r="K8" s="68">
        <f>'6월'!$N5</f>
        <v>0</v>
      </c>
      <c r="L8" s="68">
        <f>'7월'!$N5</f>
        <v>0</v>
      </c>
      <c r="M8" s="68">
        <f>'8월'!$N5</f>
        <v>0</v>
      </c>
      <c r="N8" s="68">
        <f>'9월'!$N5</f>
        <v>0</v>
      </c>
      <c r="O8" s="68">
        <f>'10월'!$N5</f>
        <v>0</v>
      </c>
      <c r="P8" s="68">
        <f>'11월'!$N5</f>
        <v>0</v>
      </c>
      <c r="Q8" s="117">
        <f>'12월'!$N5</f>
        <v>0</v>
      </c>
      <c r="R8" s="67">
        <f t="shared" si="1"/>
        <v>0</v>
      </c>
      <c r="S8" s="39" t="e">
        <f>E8/E34</f>
        <v>#DIV/0!</v>
      </c>
    </row>
    <row r="9" spans="2:20" s="21" customFormat="1" ht="31.5" customHeight="1" x14ac:dyDescent="0.3">
      <c r="B9" s="167" t="s">
        <v>25</v>
      </c>
      <c r="C9" s="175" t="s">
        <v>26</v>
      </c>
      <c r="D9" s="24" t="s">
        <v>21</v>
      </c>
      <c r="E9" s="66">
        <f t="shared" si="0"/>
        <v>0</v>
      </c>
      <c r="F9" s="67">
        <f>'1월'!L7</f>
        <v>0</v>
      </c>
      <c r="G9" s="68">
        <f>'2월'!$L6</f>
        <v>0</v>
      </c>
      <c r="H9" s="68">
        <f>'3월'!$L6</f>
        <v>0</v>
      </c>
      <c r="I9" s="68">
        <f>'4월'!$L6</f>
        <v>0</v>
      </c>
      <c r="J9" s="68">
        <f>'5월'!$L6</f>
        <v>0</v>
      </c>
      <c r="K9" s="68">
        <f>'6월'!$L6</f>
        <v>0</v>
      </c>
      <c r="L9" s="68">
        <f>'7월'!$L6</f>
        <v>0</v>
      </c>
      <c r="M9" s="68">
        <f>'8월'!$L6</f>
        <v>0</v>
      </c>
      <c r="N9" s="68">
        <f>'9월'!$L6</f>
        <v>0</v>
      </c>
      <c r="O9" s="68">
        <f>'10월'!$L6</f>
        <v>0</v>
      </c>
      <c r="P9" s="68">
        <f>'11월'!$L6</f>
        <v>0</v>
      </c>
      <c r="Q9" s="117">
        <f>'12월'!$L6</f>
        <v>0</v>
      </c>
      <c r="R9" s="67">
        <f t="shared" si="1"/>
        <v>0</v>
      </c>
      <c r="S9" s="39"/>
    </row>
    <row r="10" spans="2:20" s="21" customFormat="1" ht="31.5" customHeight="1" x14ac:dyDescent="0.3">
      <c r="B10" s="168"/>
      <c r="C10" s="168"/>
      <c r="D10" s="24" t="s">
        <v>22</v>
      </c>
      <c r="E10" s="66">
        <f t="shared" si="0"/>
        <v>0</v>
      </c>
      <c r="F10" s="67">
        <f>'1월'!M7</f>
        <v>0</v>
      </c>
      <c r="G10" s="68">
        <f>'2월'!$M6</f>
        <v>0</v>
      </c>
      <c r="H10" s="68">
        <f>'3월'!$M6</f>
        <v>0</v>
      </c>
      <c r="I10" s="68">
        <f>'4월'!$M6</f>
        <v>0</v>
      </c>
      <c r="J10" s="68">
        <f>'5월'!$M6</f>
        <v>0</v>
      </c>
      <c r="K10" s="68">
        <f>'6월'!$M6</f>
        <v>0</v>
      </c>
      <c r="L10" s="68">
        <f>'7월'!$M6</f>
        <v>0</v>
      </c>
      <c r="M10" s="68">
        <f>'8월'!$M6</f>
        <v>0</v>
      </c>
      <c r="N10" s="68">
        <f>'9월'!$M6</f>
        <v>0</v>
      </c>
      <c r="O10" s="68">
        <f>'10월'!$M6</f>
        <v>0</v>
      </c>
      <c r="P10" s="68">
        <f>'11월'!$M6</f>
        <v>0</v>
      </c>
      <c r="Q10" s="117">
        <f>'12월'!$M6</f>
        <v>0</v>
      </c>
      <c r="R10" s="67">
        <f t="shared" si="1"/>
        <v>0</v>
      </c>
      <c r="S10" s="39" t="e">
        <f>E10/E33</f>
        <v>#DIV/0!</v>
      </c>
    </row>
    <row r="11" spans="2:20" s="21" customFormat="1" ht="31.5" customHeight="1" x14ac:dyDescent="0.3">
      <c r="B11" s="168"/>
      <c r="C11" s="169"/>
      <c r="D11" s="24" t="s">
        <v>23</v>
      </c>
      <c r="E11" s="66">
        <f t="shared" si="0"/>
        <v>0</v>
      </c>
      <c r="F11" s="67">
        <f>'1월'!N7</f>
        <v>0</v>
      </c>
      <c r="G11" s="68">
        <f>'2월'!$N6</f>
        <v>0</v>
      </c>
      <c r="H11" s="68">
        <f>'3월'!$N6</f>
        <v>0</v>
      </c>
      <c r="I11" s="68">
        <f>'4월'!$N6</f>
        <v>0</v>
      </c>
      <c r="J11" s="68">
        <f>'5월'!$N6</f>
        <v>0</v>
      </c>
      <c r="K11" s="68">
        <f>'6월'!$N6</f>
        <v>0</v>
      </c>
      <c r="L11" s="68">
        <f>'7월'!$N6</f>
        <v>0</v>
      </c>
      <c r="M11" s="68">
        <f>'8월'!$N6</f>
        <v>0</v>
      </c>
      <c r="N11" s="68">
        <f>'9월'!$N6</f>
        <v>0</v>
      </c>
      <c r="O11" s="68">
        <f>'10월'!$N6</f>
        <v>0</v>
      </c>
      <c r="P11" s="68">
        <f>'11월'!$N6</f>
        <v>0</v>
      </c>
      <c r="Q11" s="117">
        <f>'12월'!$N6</f>
        <v>0</v>
      </c>
      <c r="R11" s="67">
        <f t="shared" si="1"/>
        <v>0</v>
      </c>
      <c r="S11" s="39" t="e">
        <f>E11/E34</f>
        <v>#DIV/0!</v>
      </c>
    </row>
    <row r="12" spans="2:20" s="21" customFormat="1" ht="31.5" customHeight="1" x14ac:dyDescent="0.3">
      <c r="B12" s="168"/>
      <c r="C12" s="175" t="s">
        <v>27</v>
      </c>
      <c r="D12" s="24" t="s">
        <v>21</v>
      </c>
      <c r="E12" s="66">
        <f t="shared" si="0"/>
        <v>0</v>
      </c>
      <c r="F12" s="67">
        <f>'1월'!L8</f>
        <v>0</v>
      </c>
      <c r="G12" s="68">
        <f>'2월'!$L7</f>
        <v>0</v>
      </c>
      <c r="H12" s="68">
        <f>'3월'!$L7</f>
        <v>0</v>
      </c>
      <c r="I12" s="68">
        <f>'4월'!$L7</f>
        <v>0</v>
      </c>
      <c r="J12" s="68">
        <f>'5월'!$L7</f>
        <v>0</v>
      </c>
      <c r="K12" s="68">
        <f>'6월'!$L7</f>
        <v>0</v>
      </c>
      <c r="L12" s="68">
        <f>'7월'!$L7</f>
        <v>0</v>
      </c>
      <c r="M12" s="68">
        <f>'8월'!$L7</f>
        <v>0</v>
      </c>
      <c r="N12" s="68">
        <f>'9월'!$L7</f>
        <v>0</v>
      </c>
      <c r="O12" s="68">
        <f>'10월'!$L7</f>
        <v>0</v>
      </c>
      <c r="P12" s="68">
        <f>'11월'!$L7</f>
        <v>0</v>
      </c>
      <c r="Q12" s="117">
        <f>'12월'!$L7</f>
        <v>0</v>
      </c>
      <c r="R12" s="67">
        <f t="shared" si="1"/>
        <v>0</v>
      </c>
      <c r="S12" s="39"/>
    </row>
    <row r="13" spans="2:20" s="21" customFormat="1" ht="31.5" customHeight="1" x14ac:dyDescent="0.3">
      <c r="B13" s="168"/>
      <c r="C13" s="168"/>
      <c r="D13" s="24" t="s">
        <v>22</v>
      </c>
      <c r="E13" s="66">
        <f t="shared" si="0"/>
        <v>0</v>
      </c>
      <c r="F13" s="67">
        <f>'1월'!M8</f>
        <v>0</v>
      </c>
      <c r="G13" s="68">
        <f>'2월'!$M7</f>
        <v>0</v>
      </c>
      <c r="H13" s="68">
        <f>'3월'!$M7</f>
        <v>0</v>
      </c>
      <c r="I13" s="68">
        <f>'4월'!$M7</f>
        <v>0</v>
      </c>
      <c r="J13" s="68">
        <f>'5월'!$M7</f>
        <v>0</v>
      </c>
      <c r="K13" s="68">
        <f>'6월'!$M7</f>
        <v>0</v>
      </c>
      <c r="L13" s="68">
        <f>'7월'!$M7</f>
        <v>0</v>
      </c>
      <c r="M13" s="68">
        <f>'8월'!$M7</f>
        <v>0</v>
      </c>
      <c r="N13" s="68">
        <f>'9월'!$M7</f>
        <v>0</v>
      </c>
      <c r="O13" s="68">
        <f>'10월'!$M7</f>
        <v>0</v>
      </c>
      <c r="P13" s="68">
        <f>'11월'!$M7</f>
        <v>0</v>
      </c>
      <c r="Q13" s="117">
        <f>'12월'!$M7</f>
        <v>0</v>
      </c>
      <c r="R13" s="67">
        <f t="shared" si="1"/>
        <v>0</v>
      </c>
      <c r="S13" s="39" t="e">
        <f>E13/E33</f>
        <v>#DIV/0!</v>
      </c>
    </row>
    <row r="14" spans="2:20" s="21" customFormat="1" ht="31.5" customHeight="1" x14ac:dyDescent="0.3">
      <c r="B14" s="168"/>
      <c r="C14" s="169"/>
      <c r="D14" s="24" t="s">
        <v>23</v>
      </c>
      <c r="E14" s="66">
        <f t="shared" si="0"/>
        <v>0</v>
      </c>
      <c r="F14" s="67">
        <f>'1월'!N8</f>
        <v>0</v>
      </c>
      <c r="G14" s="68">
        <f>'2월'!$N7</f>
        <v>0</v>
      </c>
      <c r="H14" s="68">
        <f>'3월'!$N7</f>
        <v>0</v>
      </c>
      <c r="I14" s="68">
        <f>'4월'!$N7</f>
        <v>0</v>
      </c>
      <c r="J14" s="68">
        <f>'5월'!$N7</f>
        <v>0</v>
      </c>
      <c r="K14" s="68">
        <f>'6월'!$N7</f>
        <v>0</v>
      </c>
      <c r="L14" s="68">
        <f>'7월'!$N7</f>
        <v>0</v>
      </c>
      <c r="M14" s="68">
        <f>'8월'!$N7</f>
        <v>0</v>
      </c>
      <c r="N14" s="68">
        <f>'9월'!$N7</f>
        <v>0</v>
      </c>
      <c r="O14" s="68">
        <f>'10월'!$N7</f>
        <v>0</v>
      </c>
      <c r="P14" s="68">
        <f>'11월'!$N7</f>
        <v>0</v>
      </c>
      <c r="Q14" s="117">
        <f>'12월'!$N7</f>
        <v>0</v>
      </c>
      <c r="R14" s="67">
        <f t="shared" si="1"/>
        <v>0</v>
      </c>
      <c r="S14" s="39" t="e">
        <f>E14/E34</f>
        <v>#DIV/0!</v>
      </c>
    </row>
    <row r="15" spans="2:20" s="21" customFormat="1" ht="31.5" customHeight="1" x14ac:dyDescent="0.3">
      <c r="B15" s="168"/>
      <c r="C15" s="175" t="s">
        <v>28</v>
      </c>
      <c r="D15" s="24" t="s">
        <v>21</v>
      </c>
      <c r="E15" s="66">
        <f t="shared" si="0"/>
        <v>0</v>
      </c>
      <c r="F15" s="67">
        <f>'1월'!L9</f>
        <v>0</v>
      </c>
      <c r="G15" s="68">
        <f>'2월'!$L8</f>
        <v>0</v>
      </c>
      <c r="H15" s="68">
        <f>'3월'!$L8</f>
        <v>0</v>
      </c>
      <c r="I15" s="68">
        <f>'4월'!$L8</f>
        <v>0</v>
      </c>
      <c r="J15" s="68">
        <f>'5월'!$L8</f>
        <v>0</v>
      </c>
      <c r="K15" s="68">
        <f>'6월'!$L8</f>
        <v>0</v>
      </c>
      <c r="L15" s="68">
        <f>'7월'!$L8</f>
        <v>0</v>
      </c>
      <c r="M15" s="68">
        <f>'8월'!$L8</f>
        <v>0</v>
      </c>
      <c r="N15" s="68">
        <f>'9월'!$L8</f>
        <v>0</v>
      </c>
      <c r="O15" s="68">
        <f>'10월'!$L8</f>
        <v>0</v>
      </c>
      <c r="P15" s="68">
        <f>'11월'!$L8</f>
        <v>0</v>
      </c>
      <c r="Q15" s="117">
        <f>'12월'!$L8</f>
        <v>0</v>
      </c>
      <c r="R15" s="67">
        <f t="shared" si="1"/>
        <v>0</v>
      </c>
      <c r="S15" s="38"/>
    </row>
    <row r="16" spans="2:20" s="21" customFormat="1" ht="31.5" customHeight="1" x14ac:dyDescent="0.3">
      <c r="B16" s="168"/>
      <c r="C16" s="176"/>
      <c r="D16" s="24" t="s">
        <v>22</v>
      </c>
      <c r="E16" s="66">
        <f t="shared" si="0"/>
        <v>0</v>
      </c>
      <c r="F16" s="67">
        <f>'1월'!M9</f>
        <v>0</v>
      </c>
      <c r="G16" s="68">
        <f>'2월'!$M8</f>
        <v>0</v>
      </c>
      <c r="H16" s="68">
        <f>'3월'!$M8</f>
        <v>0</v>
      </c>
      <c r="I16" s="68">
        <f>'4월'!$M8</f>
        <v>0</v>
      </c>
      <c r="J16" s="68">
        <f>'5월'!$M8</f>
        <v>0</v>
      </c>
      <c r="K16" s="68">
        <f>'6월'!$M8</f>
        <v>0</v>
      </c>
      <c r="L16" s="68">
        <f>'7월'!$M8</f>
        <v>0</v>
      </c>
      <c r="M16" s="68">
        <f>'8월'!$M8</f>
        <v>0</v>
      </c>
      <c r="N16" s="68">
        <f>'9월'!$M8</f>
        <v>0</v>
      </c>
      <c r="O16" s="68">
        <f>'10월'!$M8</f>
        <v>0</v>
      </c>
      <c r="P16" s="68">
        <f>'11월'!$M8</f>
        <v>0</v>
      </c>
      <c r="Q16" s="117">
        <f>'12월'!$M8</f>
        <v>0</v>
      </c>
      <c r="R16" s="67">
        <f t="shared" si="1"/>
        <v>0</v>
      </c>
      <c r="S16" s="39" t="e">
        <f>E16/E33</f>
        <v>#DIV/0!</v>
      </c>
    </row>
    <row r="17" spans="2:19" s="21" customFormat="1" ht="31.5" customHeight="1" x14ac:dyDescent="0.3">
      <c r="B17" s="169"/>
      <c r="C17" s="177"/>
      <c r="D17" s="24" t="s">
        <v>23</v>
      </c>
      <c r="E17" s="66">
        <f t="shared" si="0"/>
        <v>0</v>
      </c>
      <c r="F17" s="67">
        <f>'1월'!N9</f>
        <v>0</v>
      </c>
      <c r="G17" s="68">
        <f>'2월'!$N8</f>
        <v>0</v>
      </c>
      <c r="H17" s="68">
        <f>'3월'!$N8</f>
        <v>0</v>
      </c>
      <c r="I17" s="68">
        <f>'4월'!$N8</f>
        <v>0</v>
      </c>
      <c r="J17" s="68">
        <f>'5월'!$N8</f>
        <v>0</v>
      </c>
      <c r="K17" s="68">
        <f>'6월'!$N8</f>
        <v>0</v>
      </c>
      <c r="L17" s="68">
        <f>'7월'!$N8</f>
        <v>0</v>
      </c>
      <c r="M17" s="68">
        <f>'8월'!$N8</f>
        <v>0</v>
      </c>
      <c r="N17" s="68">
        <f>'9월'!$N8</f>
        <v>0</v>
      </c>
      <c r="O17" s="68">
        <f>'10월'!$N8</f>
        <v>0</v>
      </c>
      <c r="P17" s="68">
        <f>'11월'!$N8</f>
        <v>0</v>
      </c>
      <c r="Q17" s="117">
        <f>'12월'!$N8</f>
        <v>0</v>
      </c>
      <c r="R17" s="67">
        <f t="shared" si="1"/>
        <v>0</v>
      </c>
      <c r="S17" s="39" t="e">
        <f>E17/E34</f>
        <v>#DIV/0!</v>
      </c>
    </row>
    <row r="18" spans="2:19" s="21" customFormat="1" ht="31.5" customHeight="1" x14ac:dyDescent="0.3">
      <c r="B18" s="167" t="s">
        <v>29</v>
      </c>
      <c r="C18" s="175" t="s">
        <v>30</v>
      </c>
      <c r="D18" s="24" t="s">
        <v>21</v>
      </c>
      <c r="E18" s="66">
        <f t="shared" si="0"/>
        <v>0</v>
      </c>
      <c r="F18" s="67">
        <f>'1월'!L10</f>
        <v>0</v>
      </c>
      <c r="G18" s="68">
        <f>'2월'!$L9</f>
        <v>0</v>
      </c>
      <c r="H18" s="68">
        <f>'3월'!$L9</f>
        <v>0</v>
      </c>
      <c r="I18" s="68">
        <f>'4월'!$L9</f>
        <v>0</v>
      </c>
      <c r="J18" s="68">
        <f>'5월'!$L9</f>
        <v>0</v>
      </c>
      <c r="K18" s="68">
        <f>'6월'!$L9</f>
        <v>0</v>
      </c>
      <c r="L18" s="68">
        <f>'7월'!$L9</f>
        <v>0</v>
      </c>
      <c r="M18" s="68">
        <f>'8월'!$L9</f>
        <v>0</v>
      </c>
      <c r="N18" s="68">
        <f>'9월'!$L9</f>
        <v>0</v>
      </c>
      <c r="O18" s="68">
        <f>'10월'!$L9</f>
        <v>0</v>
      </c>
      <c r="P18" s="68">
        <f>'11월'!$L9</f>
        <v>0</v>
      </c>
      <c r="Q18" s="117">
        <f>'12월'!$L9</f>
        <v>0</v>
      </c>
      <c r="R18" s="67">
        <f t="shared" si="1"/>
        <v>0</v>
      </c>
      <c r="S18" s="39"/>
    </row>
    <row r="19" spans="2:19" s="21" customFormat="1" ht="31.5" customHeight="1" x14ac:dyDescent="0.3">
      <c r="B19" s="168"/>
      <c r="C19" s="176"/>
      <c r="D19" s="24" t="s">
        <v>22</v>
      </c>
      <c r="E19" s="66">
        <f t="shared" si="0"/>
        <v>0</v>
      </c>
      <c r="F19" s="67">
        <f>'1월'!M10</f>
        <v>0</v>
      </c>
      <c r="G19" s="68">
        <f>'2월'!$M9</f>
        <v>0</v>
      </c>
      <c r="H19" s="68">
        <f>'3월'!$M9</f>
        <v>0</v>
      </c>
      <c r="I19" s="68">
        <f>'4월'!$M9</f>
        <v>0</v>
      </c>
      <c r="J19" s="68">
        <f>'5월'!$M9</f>
        <v>0</v>
      </c>
      <c r="K19" s="68">
        <f>'6월'!$M9</f>
        <v>0</v>
      </c>
      <c r="L19" s="68">
        <f>'7월'!$M9</f>
        <v>0</v>
      </c>
      <c r="M19" s="68">
        <f>'8월'!$M9</f>
        <v>0</v>
      </c>
      <c r="N19" s="68">
        <f>'9월'!$M9</f>
        <v>0</v>
      </c>
      <c r="O19" s="68">
        <f>'10월'!$M9</f>
        <v>0</v>
      </c>
      <c r="P19" s="68">
        <f>'11월'!$M9</f>
        <v>0</v>
      </c>
      <c r="Q19" s="117">
        <f>'12월'!$M9</f>
        <v>0</v>
      </c>
      <c r="R19" s="67">
        <f t="shared" si="1"/>
        <v>0</v>
      </c>
      <c r="S19" s="39" t="e">
        <f>E19/E33</f>
        <v>#DIV/0!</v>
      </c>
    </row>
    <row r="20" spans="2:19" s="21" customFormat="1" ht="31.5" customHeight="1" x14ac:dyDescent="0.3">
      <c r="B20" s="168"/>
      <c r="C20" s="177"/>
      <c r="D20" s="24" t="s">
        <v>23</v>
      </c>
      <c r="E20" s="66">
        <f t="shared" si="0"/>
        <v>0</v>
      </c>
      <c r="F20" s="67">
        <f>'1월'!N10</f>
        <v>0</v>
      </c>
      <c r="G20" s="68">
        <f>'2월'!$N9</f>
        <v>0</v>
      </c>
      <c r="H20" s="68">
        <f>'3월'!$N9</f>
        <v>0</v>
      </c>
      <c r="I20" s="68">
        <f>'4월'!$N9</f>
        <v>0</v>
      </c>
      <c r="J20" s="68">
        <f>'5월'!$N9</f>
        <v>0</v>
      </c>
      <c r="K20" s="68">
        <f>'6월'!$N9</f>
        <v>0</v>
      </c>
      <c r="L20" s="68">
        <f>'7월'!$N9</f>
        <v>0</v>
      </c>
      <c r="M20" s="68">
        <f>'8월'!$N9</f>
        <v>0</v>
      </c>
      <c r="N20" s="68">
        <f>'9월'!$N9</f>
        <v>0</v>
      </c>
      <c r="O20" s="68">
        <f>'10월'!$N9</f>
        <v>0</v>
      </c>
      <c r="P20" s="68">
        <f>'11월'!$N9</f>
        <v>0</v>
      </c>
      <c r="Q20" s="117">
        <f>'12월'!$N9</f>
        <v>0</v>
      </c>
      <c r="R20" s="67">
        <f t="shared" si="1"/>
        <v>0</v>
      </c>
      <c r="S20" s="39" t="e">
        <f>E20/E34</f>
        <v>#DIV/0!</v>
      </c>
    </row>
    <row r="21" spans="2:19" s="21" customFormat="1" ht="31.5" customHeight="1" x14ac:dyDescent="0.3">
      <c r="B21" s="168"/>
      <c r="C21" s="167" t="s">
        <v>31</v>
      </c>
      <c r="D21" s="24" t="s">
        <v>21</v>
      </c>
      <c r="E21" s="66">
        <f t="shared" si="0"/>
        <v>0</v>
      </c>
      <c r="F21" s="67">
        <f>'1월'!L11</f>
        <v>0</v>
      </c>
      <c r="G21" s="68">
        <f>'2월'!$L10</f>
        <v>0</v>
      </c>
      <c r="H21" s="68">
        <f>'3월'!$L10</f>
        <v>0</v>
      </c>
      <c r="I21" s="68">
        <f>'4월'!$L10</f>
        <v>0</v>
      </c>
      <c r="J21" s="68">
        <f>'5월'!$L10</f>
        <v>0</v>
      </c>
      <c r="K21" s="68">
        <f>'6월'!$L10</f>
        <v>0</v>
      </c>
      <c r="L21" s="68">
        <f>'7월'!$L10</f>
        <v>0</v>
      </c>
      <c r="M21" s="68">
        <f>'8월'!$L10</f>
        <v>0</v>
      </c>
      <c r="N21" s="68">
        <f>'9월'!$L10</f>
        <v>0</v>
      </c>
      <c r="O21" s="68">
        <f>'10월'!$L10</f>
        <v>0</v>
      </c>
      <c r="P21" s="68">
        <f>'11월'!$L10</f>
        <v>0</v>
      </c>
      <c r="Q21" s="117">
        <f>'12월'!$L10</f>
        <v>0</v>
      </c>
      <c r="R21" s="67">
        <f t="shared" si="1"/>
        <v>0</v>
      </c>
      <c r="S21" s="39"/>
    </row>
    <row r="22" spans="2:19" s="21" customFormat="1" ht="31.5" customHeight="1" x14ac:dyDescent="0.3">
      <c r="B22" s="168"/>
      <c r="C22" s="168"/>
      <c r="D22" s="24" t="s">
        <v>22</v>
      </c>
      <c r="E22" s="66">
        <f t="shared" si="0"/>
        <v>0</v>
      </c>
      <c r="F22" s="67">
        <f>'1월'!M11</f>
        <v>0</v>
      </c>
      <c r="G22" s="68">
        <f>'2월'!$M10</f>
        <v>0</v>
      </c>
      <c r="H22" s="68">
        <f>'3월'!$M10</f>
        <v>0</v>
      </c>
      <c r="I22" s="68">
        <f>'4월'!$M10</f>
        <v>0</v>
      </c>
      <c r="J22" s="68">
        <f>'5월'!$M10</f>
        <v>0</v>
      </c>
      <c r="K22" s="68">
        <f>'6월'!$M10</f>
        <v>0</v>
      </c>
      <c r="L22" s="68">
        <f>'7월'!$M10</f>
        <v>0</v>
      </c>
      <c r="M22" s="68">
        <f>'8월'!$M10</f>
        <v>0</v>
      </c>
      <c r="N22" s="68">
        <f>'9월'!$M10</f>
        <v>0</v>
      </c>
      <c r="O22" s="68">
        <f>'10월'!$M10</f>
        <v>0</v>
      </c>
      <c r="P22" s="68">
        <f>'11월'!$M10</f>
        <v>0</v>
      </c>
      <c r="Q22" s="117">
        <f>'12월'!$M10</f>
        <v>0</v>
      </c>
      <c r="R22" s="67">
        <f t="shared" si="1"/>
        <v>0</v>
      </c>
      <c r="S22" s="39" t="e">
        <f>E22/E33</f>
        <v>#DIV/0!</v>
      </c>
    </row>
    <row r="23" spans="2:19" s="21" customFormat="1" ht="31.5" customHeight="1" x14ac:dyDescent="0.3">
      <c r="B23" s="168"/>
      <c r="C23" s="169"/>
      <c r="D23" s="24" t="s">
        <v>23</v>
      </c>
      <c r="E23" s="66">
        <f t="shared" si="0"/>
        <v>0</v>
      </c>
      <c r="F23" s="67">
        <f>'1월'!N11</f>
        <v>0</v>
      </c>
      <c r="G23" s="68">
        <f>'2월'!$N10</f>
        <v>0</v>
      </c>
      <c r="H23" s="68">
        <f>'3월'!$N10</f>
        <v>0</v>
      </c>
      <c r="I23" s="68">
        <f>'4월'!$N10</f>
        <v>0</v>
      </c>
      <c r="J23" s="68">
        <f>'5월'!$N10</f>
        <v>0</v>
      </c>
      <c r="K23" s="68">
        <f>'6월'!$N10</f>
        <v>0</v>
      </c>
      <c r="L23" s="68">
        <f>'7월'!$N10</f>
        <v>0</v>
      </c>
      <c r="M23" s="68">
        <f>'8월'!$N10</f>
        <v>0</v>
      </c>
      <c r="N23" s="68">
        <f>'9월'!$N10</f>
        <v>0</v>
      </c>
      <c r="O23" s="68">
        <f>'10월'!$N10</f>
        <v>0</v>
      </c>
      <c r="P23" s="68">
        <f>'11월'!$N10</f>
        <v>0</v>
      </c>
      <c r="Q23" s="117">
        <f>'12월'!$N10</f>
        <v>0</v>
      </c>
      <c r="R23" s="67">
        <f t="shared" si="1"/>
        <v>0</v>
      </c>
      <c r="S23" s="39" t="e">
        <f>E23/E34</f>
        <v>#DIV/0!</v>
      </c>
    </row>
    <row r="24" spans="2:19" s="21" customFormat="1" ht="31.5" customHeight="1" x14ac:dyDescent="0.3">
      <c r="B24" s="168"/>
      <c r="C24" s="167" t="s">
        <v>32</v>
      </c>
      <c r="D24" s="24" t="s">
        <v>21</v>
      </c>
      <c r="E24" s="66">
        <f t="shared" si="0"/>
        <v>0</v>
      </c>
      <c r="F24" s="67">
        <f>'1월'!L12</f>
        <v>0</v>
      </c>
      <c r="G24" s="68">
        <f>'2월'!$L11</f>
        <v>0</v>
      </c>
      <c r="H24" s="68">
        <f>'3월'!$L11</f>
        <v>0</v>
      </c>
      <c r="I24" s="68">
        <f>'4월'!$L11</f>
        <v>0</v>
      </c>
      <c r="J24" s="68">
        <f>'5월'!$L11</f>
        <v>0</v>
      </c>
      <c r="K24" s="68">
        <f>'6월'!$L11</f>
        <v>0</v>
      </c>
      <c r="L24" s="68">
        <f>'7월'!$L11</f>
        <v>0</v>
      </c>
      <c r="M24" s="68">
        <f>'8월'!$L11</f>
        <v>0</v>
      </c>
      <c r="N24" s="68">
        <f>'9월'!$L11</f>
        <v>0</v>
      </c>
      <c r="O24" s="68">
        <f>'10월'!$L11</f>
        <v>0</v>
      </c>
      <c r="P24" s="68">
        <f>'11월'!$L11</f>
        <v>0</v>
      </c>
      <c r="Q24" s="117">
        <f>'12월'!$L11</f>
        <v>0</v>
      </c>
      <c r="R24" s="67">
        <f t="shared" si="1"/>
        <v>0</v>
      </c>
      <c r="S24" s="39"/>
    </row>
    <row r="25" spans="2:19" s="21" customFormat="1" ht="31.5" customHeight="1" x14ac:dyDescent="0.3">
      <c r="B25" s="168"/>
      <c r="C25" s="168"/>
      <c r="D25" s="24" t="s">
        <v>22</v>
      </c>
      <c r="E25" s="66">
        <f t="shared" si="0"/>
        <v>0</v>
      </c>
      <c r="F25" s="67">
        <f>'1월'!M12</f>
        <v>0</v>
      </c>
      <c r="G25" s="68">
        <f>'2월'!$M11</f>
        <v>0</v>
      </c>
      <c r="H25" s="68">
        <f>'3월'!$M11</f>
        <v>0</v>
      </c>
      <c r="I25" s="68">
        <f>'4월'!$M11</f>
        <v>0</v>
      </c>
      <c r="J25" s="68">
        <f>'5월'!$M11</f>
        <v>0</v>
      </c>
      <c r="K25" s="68">
        <f>'6월'!$M11</f>
        <v>0</v>
      </c>
      <c r="L25" s="68">
        <f>'7월'!$M11</f>
        <v>0</v>
      </c>
      <c r="M25" s="68">
        <f>'8월'!$M11</f>
        <v>0</v>
      </c>
      <c r="N25" s="68">
        <f>'9월'!$M11</f>
        <v>0</v>
      </c>
      <c r="O25" s="68">
        <f>'10월'!$M11</f>
        <v>0</v>
      </c>
      <c r="P25" s="68">
        <f>'11월'!$M11</f>
        <v>0</v>
      </c>
      <c r="Q25" s="117">
        <f>'12월'!$M11</f>
        <v>0</v>
      </c>
      <c r="R25" s="67">
        <f t="shared" si="1"/>
        <v>0</v>
      </c>
      <c r="S25" s="39" t="e">
        <f>E25/E33</f>
        <v>#DIV/0!</v>
      </c>
    </row>
    <row r="26" spans="2:19" s="21" customFormat="1" ht="31.5" customHeight="1" x14ac:dyDescent="0.3">
      <c r="B26" s="169"/>
      <c r="C26" s="169"/>
      <c r="D26" s="24" t="s">
        <v>23</v>
      </c>
      <c r="E26" s="66">
        <f t="shared" si="0"/>
        <v>0</v>
      </c>
      <c r="F26" s="67">
        <f>'1월'!N12</f>
        <v>0</v>
      </c>
      <c r="G26" s="68">
        <f>'2월'!$N11</f>
        <v>0</v>
      </c>
      <c r="H26" s="68">
        <f>'3월'!$N11</f>
        <v>0</v>
      </c>
      <c r="I26" s="68">
        <f>'4월'!$N11</f>
        <v>0</v>
      </c>
      <c r="J26" s="68">
        <f>'5월'!$N11</f>
        <v>0</v>
      </c>
      <c r="K26" s="68">
        <f>'6월'!$N11</f>
        <v>0</v>
      </c>
      <c r="L26" s="68">
        <f>'7월'!$N11</f>
        <v>0</v>
      </c>
      <c r="M26" s="68">
        <f>'8월'!$N11</f>
        <v>0</v>
      </c>
      <c r="N26" s="68">
        <f>'9월'!$N11</f>
        <v>0</v>
      </c>
      <c r="O26" s="68">
        <f>'10월'!$N11</f>
        <v>0</v>
      </c>
      <c r="P26" s="68">
        <f>'11월'!$N11</f>
        <v>0</v>
      </c>
      <c r="Q26" s="117">
        <f>'12월'!$N11</f>
        <v>0</v>
      </c>
      <c r="R26" s="67">
        <f t="shared" si="1"/>
        <v>0</v>
      </c>
      <c r="S26" s="39" t="e">
        <f>E26/E34</f>
        <v>#DIV/0!</v>
      </c>
    </row>
    <row r="27" spans="2:19" s="21" customFormat="1" ht="31.5" customHeight="1" x14ac:dyDescent="0.3">
      <c r="B27" s="33"/>
      <c r="C27" s="33"/>
      <c r="D27" s="24" t="s">
        <v>21</v>
      </c>
      <c r="E27" s="66">
        <f t="shared" si="0"/>
        <v>0</v>
      </c>
      <c r="F27" s="69">
        <f>'1월'!L13</f>
        <v>0</v>
      </c>
      <c r="G27" s="70">
        <f>'2월'!$L12</f>
        <v>0</v>
      </c>
      <c r="H27" s="70">
        <f>'3월'!$L12</f>
        <v>0</v>
      </c>
      <c r="I27" s="70">
        <f>'4월'!$L12</f>
        <v>0</v>
      </c>
      <c r="J27" s="70">
        <f>'5월'!$L12</f>
        <v>0</v>
      </c>
      <c r="K27" s="70">
        <f>'6월'!$L12</f>
        <v>0</v>
      </c>
      <c r="L27" s="70">
        <f>'7월'!$L12</f>
        <v>0</v>
      </c>
      <c r="M27" s="70">
        <f>'8월'!$L12</f>
        <v>0</v>
      </c>
      <c r="N27" s="70">
        <f>'9월'!$L12</f>
        <v>0</v>
      </c>
      <c r="O27" s="70">
        <f>'10월'!$L12</f>
        <v>0</v>
      </c>
      <c r="P27" s="70">
        <f>'11월'!$L12</f>
        <v>0</v>
      </c>
      <c r="Q27" s="118">
        <f>'12월'!$L12</f>
        <v>0</v>
      </c>
      <c r="R27" s="69">
        <f t="shared" si="1"/>
        <v>0</v>
      </c>
      <c r="S27" s="25"/>
    </row>
    <row r="28" spans="2:19" s="21" customFormat="1" ht="31.5" customHeight="1" x14ac:dyDescent="0.3">
      <c r="B28" s="34"/>
      <c r="C28" s="34"/>
      <c r="D28" s="24" t="s">
        <v>22</v>
      </c>
      <c r="E28" s="66">
        <f t="shared" si="0"/>
        <v>0</v>
      </c>
      <c r="F28" s="69">
        <f>'1월'!M13</f>
        <v>0</v>
      </c>
      <c r="G28" s="70">
        <f>'2월'!$M12</f>
        <v>0</v>
      </c>
      <c r="H28" s="70">
        <f>'3월'!$M12</f>
        <v>0</v>
      </c>
      <c r="I28" s="70">
        <f>'4월'!$M12</f>
        <v>0</v>
      </c>
      <c r="J28" s="70">
        <f>'5월'!$M12</f>
        <v>0</v>
      </c>
      <c r="K28" s="70">
        <f>'6월'!$M12</f>
        <v>0</v>
      </c>
      <c r="L28" s="70">
        <f>'7월'!$M12</f>
        <v>0</v>
      </c>
      <c r="M28" s="70">
        <f>'8월'!$M12</f>
        <v>0</v>
      </c>
      <c r="N28" s="70">
        <f>'9월'!$M12</f>
        <v>0</v>
      </c>
      <c r="O28" s="70">
        <f>'10월'!$M12</f>
        <v>0</v>
      </c>
      <c r="P28" s="70">
        <f>'11월'!$M12</f>
        <v>0</v>
      </c>
      <c r="Q28" s="118">
        <f>'12월'!$M12</f>
        <v>0</v>
      </c>
      <c r="R28" s="69">
        <f t="shared" si="1"/>
        <v>0</v>
      </c>
      <c r="S28" s="26" t="e">
        <f>E28/E33</f>
        <v>#DIV/0!</v>
      </c>
    </row>
    <row r="29" spans="2:19" s="21" customFormat="1" ht="31.5" customHeight="1" x14ac:dyDescent="0.3">
      <c r="B29" s="34"/>
      <c r="C29" s="35"/>
      <c r="D29" s="24" t="s">
        <v>23</v>
      </c>
      <c r="E29" s="66">
        <f t="shared" si="0"/>
        <v>0</v>
      </c>
      <c r="F29" s="69">
        <f>'1월'!N13</f>
        <v>0</v>
      </c>
      <c r="G29" s="70">
        <f>'2월'!$N12</f>
        <v>0</v>
      </c>
      <c r="H29" s="70">
        <f>'3월'!$N12</f>
        <v>0</v>
      </c>
      <c r="I29" s="70">
        <f>'4월'!$N12</f>
        <v>0</v>
      </c>
      <c r="J29" s="70">
        <f>'5월'!$N12</f>
        <v>0</v>
      </c>
      <c r="K29" s="70">
        <f>'6월'!$N12</f>
        <v>0</v>
      </c>
      <c r="L29" s="70">
        <f>'7월'!$N12</f>
        <v>0</v>
      </c>
      <c r="M29" s="70">
        <f>'8월'!$N12</f>
        <v>0</v>
      </c>
      <c r="N29" s="70">
        <f>'9월'!$N12</f>
        <v>0</v>
      </c>
      <c r="O29" s="70">
        <f>'10월'!$N12</f>
        <v>0</v>
      </c>
      <c r="P29" s="70">
        <f>'11월'!$N12</f>
        <v>0</v>
      </c>
      <c r="Q29" s="118">
        <f>'12월'!$N12</f>
        <v>0</v>
      </c>
      <c r="R29" s="69">
        <f t="shared" si="1"/>
        <v>0</v>
      </c>
      <c r="S29" s="26" t="e">
        <f>E29/E34</f>
        <v>#DIV/0!</v>
      </c>
    </row>
    <row r="30" spans="2:19" s="21" customFormat="1" ht="31.5" customHeight="1" x14ac:dyDescent="0.3">
      <c r="B30" s="34"/>
      <c r="C30" s="33"/>
      <c r="D30" s="24" t="s">
        <v>21</v>
      </c>
      <c r="E30" s="66">
        <f t="shared" si="0"/>
        <v>0</v>
      </c>
      <c r="F30" s="69">
        <f>'1월'!L14</f>
        <v>0</v>
      </c>
      <c r="G30" s="70">
        <f>'2월'!$L13</f>
        <v>0</v>
      </c>
      <c r="H30" s="70">
        <f>'3월'!$L13</f>
        <v>0</v>
      </c>
      <c r="I30" s="70">
        <f>'4월'!$L13</f>
        <v>0</v>
      </c>
      <c r="J30" s="70">
        <f>'5월'!$L13</f>
        <v>0</v>
      </c>
      <c r="K30" s="70">
        <f>'6월'!$L13</f>
        <v>0</v>
      </c>
      <c r="L30" s="70">
        <f>'7월'!$L13</f>
        <v>0</v>
      </c>
      <c r="M30" s="70">
        <f>'8월'!$L13</f>
        <v>0</v>
      </c>
      <c r="N30" s="70">
        <f>'9월'!$L13</f>
        <v>0</v>
      </c>
      <c r="O30" s="70">
        <f>'10월'!$L13</f>
        <v>0</v>
      </c>
      <c r="P30" s="70">
        <f>'11월'!$L13</f>
        <v>0</v>
      </c>
      <c r="Q30" s="118">
        <f>'12월'!$L13</f>
        <v>0</v>
      </c>
      <c r="R30" s="69">
        <f t="shared" si="1"/>
        <v>0</v>
      </c>
      <c r="S30" s="26"/>
    </row>
    <row r="31" spans="2:19" s="21" customFormat="1" ht="31.5" customHeight="1" x14ac:dyDescent="0.3">
      <c r="B31" s="34"/>
      <c r="C31" s="34"/>
      <c r="D31" s="24" t="s">
        <v>22</v>
      </c>
      <c r="E31" s="66">
        <f t="shared" si="0"/>
        <v>0</v>
      </c>
      <c r="F31" s="69">
        <f>'1월'!M14</f>
        <v>0</v>
      </c>
      <c r="G31" s="70">
        <f>'2월'!$M13</f>
        <v>0</v>
      </c>
      <c r="H31" s="70">
        <f>'3월'!$M13</f>
        <v>0</v>
      </c>
      <c r="I31" s="70">
        <f>'4월'!$M13</f>
        <v>0</v>
      </c>
      <c r="J31" s="70">
        <f>'5월'!$M13</f>
        <v>0</v>
      </c>
      <c r="K31" s="70">
        <f>'6월'!$M13</f>
        <v>0</v>
      </c>
      <c r="L31" s="70">
        <f>'7월'!$M13</f>
        <v>0</v>
      </c>
      <c r="M31" s="70">
        <f>'8월'!$M13</f>
        <v>0</v>
      </c>
      <c r="N31" s="70">
        <f>'9월'!$M13</f>
        <v>0</v>
      </c>
      <c r="O31" s="70">
        <f>'10월'!$M13</f>
        <v>0</v>
      </c>
      <c r="P31" s="70">
        <f>'11월'!$M13</f>
        <v>0</v>
      </c>
      <c r="Q31" s="118">
        <f>'12월'!$M13</f>
        <v>0</v>
      </c>
      <c r="R31" s="69">
        <f t="shared" si="1"/>
        <v>0</v>
      </c>
      <c r="S31" s="26" t="e">
        <f>E31/E33</f>
        <v>#DIV/0!</v>
      </c>
    </row>
    <row r="32" spans="2:19" s="21" customFormat="1" ht="31.5" customHeight="1" thickBot="1" x14ac:dyDescent="0.35">
      <c r="B32" s="36"/>
      <c r="C32" s="36"/>
      <c r="D32" s="27" t="s">
        <v>23</v>
      </c>
      <c r="E32" s="71">
        <f t="shared" si="0"/>
        <v>0</v>
      </c>
      <c r="F32" s="72">
        <f>'1월'!N14</f>
        <v>0</v>
      </c>
      <c r="G32" s="73">
        <f>'2월'!$N13</f>
        <v>0</v>
      </c>
      <c r="H32" s="73">
        <f>'3월'!$N13</f>
        <v>0</v>
      </c>
      <c r="I32" s="73">
        <f>'4월'!$N13</f>
        <v>0</v>
      </c>
      <c r="J32" s="73">
        <f>'5월'!$N13</f>
        <v>0</v>
      </c>
      <c r="K32" s="73">
        <f>'6월'!$N13</f>
        <v>0</v>
      </c>
      <c r="L32" s="73">
        <f>'7월'!$N13</f>
        <v>0</v>
      </c>
      <c r="M32" s="73">
        <f>'8월'!$N13</f>
        <v>0</v>
      </c>
      <c r="N32" s="73">
        <f>'9월'!$N13</f>
        <v>0</v>
      </c>
      <c r="O32" s="73">
        <f>'10월'!$N13</f>
        <v>0</v>
      </c>
      <c r="P32" s="73">
        <f>'11월'!$N13</f>
        <v>0</v>
      </c>
      <c r="Q32" s="119">
        <f>'12월'!$N13</f>
        <v>0</v>
      </c>
      <c r="R32" s="72">
        <f t="shared" si="1"/>
        <v>0</v>
      </c>
      <c r="S32" s="28" t="e">
        <f>E32/E34</f>
        <v>#DIV/0!</v>
      </c>
    </row>
    <row r="33" spans="2:20" s="21" customFormat="1" ht="31.5" customHeight="1" x14ac:dyDescent="0.3">
      <c r="B33" s="171" t="s">
        <v>4</v>
      </c>
      <c r="C33" s="172"/>
      <c r="D33" s="29" t="s">
        <v>33</v>
      </c>
      <c r="E33" s="74">
        <f>E4+E7+E10+E13+E16+E19+E22+E25+E28+E31</f>
        <v>0</v>
      </c>
      <c r="F33" s="75">
        <f>F4+F7+F10+F13+F16+F19+F22+F25+F28+F31</f>
        <v>0</v>
      </c>
      <c r="G33" s="76">
        <f t="shared" ref="G33:Q33" si="2">G4+G7+G10+G13+G16+G19+G22+G25+G28+G31</f>
        <v>0</v>
      </c>
      <c r="H33" s="76">
        <f t="shared" si="2"/>
        <v>0</v>
      </c>
      <c r="I33" s="76">
        <f t="shared" si="2"/>
        <v>0</v>
      </c>
      <c r="J33" s="76">
        <f t="shared" si="2"/>
        <v>0</v>
      </c>
      <c r="K33" s="76">
        <f t="shared" si="2"/>
        <v>0</v>
      </c>
      <c r="L33" s="76">
        <f t="shared" si="2"/>
        <v>0</v>
      </c>
      <c r="M33" s="76">
        <f t="shared" si="2"/>
        <v>0</v>
      </c>
      <c r="N33" s="76">
        <f t="shared" si="2"/>
        <v>0</v>
      </c>
      <c r="O33" s="76">
        <f t="shared" si="2"/>
        <v>0</v>
      </c>
      <c r="P33" s="76">
        <f t="shared" si="2"/>
        <v>0</v>
      </c>
      <c r="Q33" s="120">
        <f t="shared" si="2"/>
        <v>0</v>
      </c>
      <c r="R33" s="114"/>
      <c r="S33" s="30"/>
    </row>
    <row r="34" spans="2:20" s="21" customFormat="1" ht="31.5" customHeight="1" thickBot="1" x14ac:dyDescent="0.35">
      <c r="B34" s="173"/>
      <c r="C34" s="174"/>
      <c r="D34" s="31" t="s">
        <v>34</v>
      </c>
      <c r="E34" s="77">
        <f>E5+E8+E11+E14+E17+E20+E23+E26+E29+E32</f>
        <v>0</v>
      </c>
      <c r="F34" s="78">
        <f t="shared" ref="F34:Q34" si="3">F5+F8+F11+F14+F17+F20+F23+F26+F29+F32</f>
        <v>0</v>
      </c>
      <c r="G34" s="79">
        <f t="shared" si="3"/>
        <v>0</v>
      </c>
      <c r="H34" s="79">
        <f t="shared" si="3"/>
        <v>0</v>
      </c>
      <c r="I34" s="79">
        <f t="shared" si="3"/>
        <v>0</v>
      </c>
      <c r="J34" s="79">
        <f t="shared" si="3"/>
        <v>0</v>
      </c>
      <c r="K34" s="79">
        <f t="shared" si="3"/>
        <v>0</v>
      </c>
      <c r="L34" s="79">
        <f t="shared" si="3"/>
        <v>0</v>
      </c>
      <c r="M34" s="79">
        <f t="shared" si="3"/>
        <v>0</v>
      </c>
      <c r="N34" s="79">
        <f t="shared" si="3"/>
        <v>0</v>
      </c>
      <c r="O34" s="79">
        <f t="shared" si="3"/>
        <v>0</v>
      </c>
      <c r="P34" s="79">
        <f t="shared" si="3"/>
        <v>0</v>
      </c>
      <c r="Q34" s="121">
        <f t="shared" si="3"/>
        <v>0</v>
      </c>
      <c r="R34" s="115"/>
      <c r="S34" s="32"/>
      <c r="T34" s="22"/>
    </row>
    <row r="40" spans="2:20" ht="16.5" customHeight="1" x14ac:dyDescent="0.3"/>
    <row r="41" spans="2:20" ht="16.5" customHeight="1" x14ac:dyDescent="0.3"/>
    <row r="42" spans="2:20" ht="16.5" customHeight="1" x14ac:dyDescent="0.3"/>
    <row r="44" spans="2:20" ht="16.5" customHeight="1" x14ac:dyDescent="0.3"/>
    <row r="45" spans="2:20" ht="16.5" customHeight="1" x14ac:dyDescent="0.3"/>
    <row r="46" spans="2:20" ht="17.25" customHeight="1" x14ac:dyDescent="0.3"/>
    <row r="47" spans="2:20" ht="16.5" customHeight="1" x14ac:dyDescent="0.3"/>
    <row r="48" spans="2:20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</sheetData>
  <mergeCells count="13">
    <mergeCell ref="B1:S1"/>
    <mergeCell ref="B9:B17"/>
    <mergeCell ref="B3:B8"/>
    <mergeCell ref="B18:B26"/>
    <mergeCell ref="B33:C34"/>
    <mergeCell ref="C3:C5"/>
    <mergeCell ref="C6:C8"/>
    <mergeCell ref="C9:C11"/>
    <mergeCell ref="C12:C14"/>
    <mergeCell ref="C15:C17"/>
    <mergeCell ref="C18:C20"/>
    <mergeCell ref="C21:C23"/>
    <mergeCell ref="C24:C26"/>
  </mergeCells>
  <phoneticPr fontId="2" type="noConversion"/>
  <pageMargins left="3.937007874015748E-2" right="0.39370078740157483" top="3.937007874015748E-2" bottom="3.937007874015748E-2" header="0.31496062992125984" footer="0.31496062992125984"/>
  <pageSetup paperSize="9" scale="47" fitToHeight="0" orientation="landscape" r:id="rId1"/>
  <rowBreaks count="1" manualBreakCount="1">
    <brk id="39" max="16383" man="1"/>
  </rowBreaks>
  <colBreaks count="1" manualBreakCount="1">
    <brk id="2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6412-432B-41A2-97DE-F04A94FCF76A}">
  <sheetPr>
    <pageSetUpPr fitToPage="1"/>
  </sheetPr>
  <dimension ref="B1:O38"/>
  <sheetViews>
    <sheetView showWhiteSpace="0" view="pageLayout" zoomScale="130" zoomScaleNormal="100" zoomScaleSheetLayoutView="100" zoomScalePageLayoutView="130" workbookViewId="0">
      <selection activeCell="E19" sqref="E19"/>
    </sheetView>
  </sheetViews>
  <sheetFormatPr defaultColWidth="8.75" defaultRowHeight="16.5" x14ac:dyDescent="0.3"/>
  <cols>
    <col min="1" max="1" width="4.25" customWidth="1"/>
    <col min="2" max="3" width="5" customWidth="1"/>
    <col min="4" max="15" width="6.125" customWidth="1"/>
    <col min="16" max="16" width="4.25" customWidth="1"/>
  </cols>
  <sheetData>
    <row r="1" spans="2:15" x14ac:dyDescent="0.3">
      <c r="C1" s="178" t="s">
        <v>35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2:15" ht="17.25" thickBot="1" x14ac:dyDescent="0.35"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</row>
    <row r="3" spans="2:15" ht="18.75" customHeight="1" x14ac:dyDescent="0.3">
      <c r="B3" s="5" t="s">
        <v>36</v>
      </c>
      <c r="C3" s="6"/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6" t="s">
        <v>16</v>
      </c>
    </row>
    <row r="4" spans="2:15" ht="18.75" customHeight="1" x14ac:dyDescent="0.3">
      <c r="B4" s="192" t="s">
        <v>37</v>
      </c>
      <c r="C4" s="193"/>
      <c r="D4" s="122">
        <f>SUMIF(매출성과표!D3:D8,"출고수량",매출성과표!F3:F8)</f>
        <v>0</v>
      </c>
      <c r="E4" s="122">
        <f>SUMIF(매출성과표!D3:D8,"출고수량",매출성과표!G3:G8)</f>
        <v>0</v>
      </c>
      <c r="F4" s="122">
        <f>SUMIF(매출성과표!D3:D8,"출고수량",매출성과표!H3:H8)</f>
        <v>0</v>
      </c>
      <c r="G4" s="122">
        <f>SUMIF(매출성과표!D3:D8,"출고수량",매출성과표!I3:I8)</f>
        <v>0</v>
      </c>
      <c r="H4" s="122">
        <f>SUMIF(매출성과표!D3:D8,"출고수량",매출성과표!J3:J8)</f>
        <v>0</v>
      </c>
      <c r="I4" s="122">
        <f>SUMIF(매출성과표!D3:D8,"출고수량",매출성과표!K3:K8)</f>
        <v>0</v>
      </c>
      <c r="J4" s="122">
        <f>SUMIF(매출성과표!D3:D8,"출고수량",매출성과표!L3:L8)</f>
        <v>0</v>
      </c>
      <c r="K4" s="122">
        <f>SUMIF(매출성과표!D3:D8,"출고수량",매출성과표!M3:M8)</f>
        <v>0</v>
      </c>
      <c r="L4" s="122">
        <f>SUMIF(매출성과표!D3:D8,"출고수량",매출성과표!N3:N8)</f>
        <v>0</v>
      </c>
      <c r="M4" s="122">
        <f>SUMIF(매출성과표!D3:D8,"출고수량",매출성과표!O3:O8)</f>
        <v>0</v>
      </c>
      <c r="N4" s="122">
        <f>SUMIF(매출성과표!D3:D8,"출고수량",매출성과표!P3:P8)</f>
        <v>0</v>
      </c>
      <c r="O4" s="122">
        <f>SUMIF(매출성과표!D3:D8,"출고수량",매출성과표!Q3:Q8)</f>
        <v>0</v>
      </c>
    </row>
    <row r="5" spans="2:15" ht="18.75" customHeight="1" thickBot="1" x14ac:dyDescent="0.35">
      <c r="B5" s="194" t="s">
        <v>38</v>
      </c>
      <c r="C5" s="195"/>
      <c r="D5" s="123">
        <f>SUMIF(매출성과표!D9:D17,"출고수량",매출성과표!F9:F17)</f>
        <v>0</v>
      </c>
      <c r="E5" s="123">
        <f>SUMIF(매출성과표!D9:D17,"출고수량",매출성과표!G9:G17)</f>
        <v>0</v>
      </c>
      <c r="F5" s="123">
        <f>SUMIF(매출성과표!D9:D17,"출고수량",매출성과표!H9:H17)</f>
        <v>0</v>
      </c>
      <c r="G5" s="123">
        <f>SUMIF(매출성과표!D9:D17,"출고수량",매출성과표!I9:I17)</f>
        <v>0</v>
      </c>
      <c r="H5" s="123">
        <f>SUMIF(매출성과표!D9:D17,"출고수량",매출성과표!J9:J17)</f>
        <v>0</v>
      </c>
      <c r="I5" s="123">
        <f>SUMIF(매출성과표!D9:D17,"출고수량",매출성과표!K9:K17)</f>
        <v>0</v>
      </c>
      <c r="J5" s="123">
        <f>SUMIF(매출성과표!D9:D17,"출고수량",매출성과표!L9:L17)</f>
        <v>0</v>
      </c>
      <c r="K5" s="123">
        <f>SUMIF(매출성과표!D9:D17,"출고수량",매출성과표!M9:M17)</f>
        <v>0</v>
      </c>
      <c r="L5" s="123">
        <f>SUMIF(매출성과표!D9:D17,"출고수량",매출성과표!N9:N17)</f>
        <v>0</v>
      </c>
      <c r="M5" s="123">
        <f>SUMIF(매출성과표!D9:D17,"출고수량",매출성과표!O9:O17)</f>
        <v>0</v>
      </c>
      <c r="N5" s="123">
        <f>SUMIF(매출성과표!D9:D17,"출고수량",매출성과표!P9:P17)</f>
        <v>0</v>
      </c>
      <c r="O5" s="123">
        <f>SUMIF(매출성과표!D9:D17,"출고수량",매출성과표!Q9:Q17)</f>
        <v>0</v>
      </c>
    </row>
    <row r="6" spans="2:15" ht="20.25" x14ac:dyDescent="0.3">
      <c r="B6" s="4"/>
      <c r="C6" s="4"/>
    </row>
    <row r="7" spans="2:15" ht="20.25" x14ac:dyDescent="0.3">
      <c r="B7" s="4"/>
      <c r="C7" s="4"/>
    </row>
    <row r="17" spans="2:13" ht="17.25" thickBot="1" x14ac:dyDescent="0.35"/>
    <row r="18" spans="2:13" ht="21" customHeight="1" thickBot="1" x14ac:dyDescent="0.35">
      <c r="B18" s="180" t="s">
        <v>39</v>
      </c>
      <c r="C18" s="181"/>
      <c r="D18" s="15" t="str">
        <f>매출성과표!C3</f>
        <v>25kg</v>
      </c>
      <c r="E18" s="16" t="str">
        <f>매출성과표!C6</f>
        <v>25kgAL</v>
      </c>
      <c r="F18" s="15" t="str">
        <f>매출성과표!C9</f>
        <v>톤백 
700미만</v>
      </c>
      <c r="G18" s="16" t="str">
        <f>매출성과표!C12</f>
        <v>톤백 
700이상</v>
      </c>
      <c r="H18" s="15" t="str">
        <f>매출성과표!C15</f>
        <v>톤백
특수</v>
      </c>
      <c r="I18" s="16" t="str">
        <f>매출성과표!C18</f>
        <v>필름백 
소형백</v>
      </c>
      <c r="J18" s="15" t="str">
        <f>매출성과표!C21</f>
        <v>부자재</v>
      </c>
      <c r="K18" s="16" t="str">
        <f>매출성과표!C24</f>
        <v>기타매출</v>
      </c>
      <c r="L18" s="15"/>
      <c r="M18" s="14"/>
    </row>
    <row r="19" spans="2:13" ht="21" customHeight="1" x14ac:dyDescent="0.3">
      <c r="B19" s="182" t="s">
        <v>40</v>
      </c>
      <c r="C19" s="183"/>
      <c r="D19" s="50" t="e">
        <f>매출성과표!S4</f>
        <v>#DIV/0!</v>
      </c>
      <c r="E19" s="51" t="e">
        <f>매출성과표!S7</f>
        <v>#DIV/0!</v>
      </c>
      <c r="F19" s="51" t="e">
        <f>매출성과표!S10</f>
        <v>#DIV/0!</v>
      </c>
      <c r="G19" s="51" t="e">
        <f>매출성과표!S13</f>
        <v>#DIV/0!</v>
      </c>
      <c r="H19" s="51" t="e">
        <f>매출성과표!S16</f>
        <v>#DIV/0!</v>
      </c>
      <c r="I19" s="51" t="e">
        <f>매출성과표!S19</f>
        <v>#DIV/0!</v>
      </c>
      <c r="J19" s="51" t="e">
        <f>매출성과표!S22</f>
        <v>#DIV/0!</v>
      </c>
      <c r="K19" s="51" t="e">
        <f>매출성과표!S25</f>
        <v>#DIV/0!</v>
      </c>
      <c r="L19" s="9"/>
      <c r="M19" s="10"/>
    </row>
    <row r="20" spans="2:13" ht="21" customHeight="1" thickBot="1" x14ac:dyDescent="0.35">
      <c r="B20" s="184" t="s">
        <v>41</v>
      </c>
      <c r="C20" s="185"/>
      <c r="D20" s="52" t="e">
        <f>매출성과표!S5</f>
        <v>#DIV/0!</v>
      </c>
      <c r="E20" s="53" t="e">
        <f>매출성과표!S8</f>
        <v>#DIV/0!</v>
      </c>
      <c r="F20" s="53" t="e">
        <f>매출성과표!S11</f>
        <v>#DIV/0!</v>
      </c>
      <c r="G20" s="53" t="e">
        <f>매출성과표!S14</f>
        <v>#DIV/0!</v>
      </c>
      <c r="H20" s="53" t="e">
        <f>매출성과표!S17</f>
        <v>#DIV/0!</v>
      </c>
      <c r="I20" s="53" t="e">
        <f>매출성과표!S20</f>
        <v>#DIV/0!</v>
      </c>
      <c r="J20" s="53" t="e">
        <f>매출성과표!S23</f>
        <v>#DIV/0!</v>
      </c>
      <c r="K20" s="53" t="e">
        <f>매출성과표!S26</f>
        <v>#DIV/0!</v>
      </c>
      <c r="L20" s="11"/>
      <c r="M20" s="12"/>
    </row>
    <row r="32" spans="2:13" ht="17.25" thickBot="1" x14ac:dyDescent="0.35"/>
    <row r="33" spans="2:15" ht="24" customHeight="1" thickBot="1" x14ac:dyDescent="0.35">
      <c r="B33" s="186" t="s">
        <v>42</v>
      </c>
      <c r="C33" s="187"/>
      <c r="D33" s="15" t="str">
        <f t="shared" ref="D33:K33" si="0">D18</f>
        <v>25kg</v>
      </c>
      <c r="E33" s="16" t="str">
        <f t="shared" si="0"/>
        <v>25kgAL</v>
      </c>
      <c r="F33" s="16" t="str">
        <f t="shared" si="0"/>
        <v>톤백 
700미만</v>
      </c>
      <c r="G33" s="16" t="str">
        <f t="shared" si="0"/>
        <v>톤백 
700이상</v>
      </c>
      <c r="H33" s="16" t="str">
        <f t="shared" si="0"/>
        <v>톤백
특수</v>
      </c>
      <c r="I33" s="16" t="str">
        <f t="shared" si="0"/>
        <v>필름백 
소형백</v>
      </c>
      <c r="J33" s="13" t="str">
        <f t="shared" si="0"/>
        <v>부자재</v>
      </c>
      <c r="K33" s="16" t="str">
        <f t="shared" si="0"/>
        <v>기타매출</v>
      </c>
      <c r="L33" s="19"/>
      <c r="M33" s="20"/>
    </row>
    <row r="34" spans="2:15" ht="24" customHeight="1" thickBot="1" x14ac:dyDescent="0.35">
      <c r="B34" s="186" t="s">
        <v>43</v>
      </c>
      <c r="C34" s="187"/>
      <c r="D34" s="54" t="e">
        <f>매출성과표!E5/매출성과표!E4</f>
        <v>#DIV/0!</v>
      </c>
      <c r="E34" s="55" t="e">
        <f>매출성과표!E8/매출성과표!E7</f>
        <v>#DIV/0!</v>
      </c>
      <c r="F34" s="55" t="e">
        <f>매출성과표!E11/매출성과표!E10</f>
        <v>#DIV/0!</v>
      </c>
      <c r="G34" s="55" t="e">
        <f>매출성과표!E14/매출성과표!E13</f>
        <v>#DIV/0!</v>
      </c>
      <c r="H34" s="55" t="e">
        <f>매출성과표!E17/매출성과표!E16</f>
        <v>#DIV/0!</v>
      </c>
      <c r="I34" s="55" t="e">
        <f>매출성과표!E20/매출성과표!E19</f>
        <v>#DIV/0!</v>
      </c>
      <c r="J34" s="55" t="e">
        <f>매출성과표!E23/매출성과표!E22</f>
        <v>#DIV/0!</v>
      </c>
      <c r="K34" s="55" t="e">
        <f>매출성과표!E26/매출성과표!E25</f>
        <v>#DIV/0!</v>
      </c>
      <c r="L34" s="17"/>
      <c r="M34" s="18"/>
    </row>
    <row r="36" spans="2:15" ht="17.25" thickBot="1" x14ac:dyDescent="0.35"/>
    <row r="37" spans="2:15" ht="17.25" thickBot="1" x14ac:dyDescent="0.35">
      <c r="N37" s="188" t="s">
        <v>44</v>
      </c>
      <c r="O37" s="189"/>
    </row>
    <row r="38" spans="2:15" ht="18" thickTop="1" thickBot="1" x14ac:dyDescent="0.35">
      <c r="N38" s="190" t="e">
        <f>AVERAGE(D34:J34)</f>
        <v>#DIV/0!</v>
      </c>
      <c r="O38" s="191"/>
    </row>
  </sheetData>
  <mergeCells count="10">
    <mergeCell ref="N37:O37"/>
    <mergeCell ref="N38:O38"/>
    <mergeCell ref="B34:C34"/>
    <mergeCell ref="B4:C4"/>
    <mergeCell ref="B5:C5"/>
    <mergeCell ref="C1:N2"/>
    <mergeCell ref="B18:C18"/>
    <mergeCell ref="B19:C19"/>
    <mergeCell ref="B20:C20"/>
    <mergeCell ref="B33:C33"/>
  </mergeCells>
  <phoneticPr fontId="2" type="noConversion"/>
  <pageMargins left="3.937007874015748E-2" right="3.937007874015748E-2" top="0.70866141732283472" bottom="0.39370078740157483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5EA3-A618-4F2A-A9EE-3182036DB24F}">
  <sheetPr>
    <pageSetUpPr fitToPage="1"/>
  </sheetPr>
  <dimension ref="A1:T45"/>
  <sheetViews>
    <sheetView zoomScaleNormal="100" zoomScaleSheetLayoutView="100" workbookViewId="0">
      <pane ySplit="2" topLeftCell="A3" activePane="bottomLeft" state="frozen"/>
      <selection pane="bottomLeft" activeCell="J2" sqref="J2:N2"/>
    </sheetView>
  </sheetViews>
  <sheetFormatPr defaultRowHeight="16.5" x14ac:dyDescent="0.3"/>
  <cols>
    <col min="1" max="1" width="19.375" style="58" customWidth="1"/>
    <col min="2" max="2" width="6.25" style="130" customWidth="1"/>
    <col min="3" max="3" width="41.875" style="131" customWidth="1"/>
    <col min="4" max="4" width="10.125" style="57" customWidth="1"/>
    <col min="5" max="5" width="11.875" style="57" bestFit="1" customWidth="1"/>
    <col min="6" max="6" width="10.875" style="102" bestFit="1" customWidth="1"/>
    <col min="7" max="7" width="6.25" style="85" customWidth="1"/>
    <col min="8" max="8" width="6.25" customWidth="1"/>
    <col min="10" max="10" width="12.5" customWidth="1"/>
    <col min="11" max="11" width="14.875" customWidth="1"/>
    <col min="12" max="12" width="18.125" customWidth="1"/>
    <col min="13" max="13" width="18.25" customWidth="1"/>
    <col min="14" max="14" width="20.25" customWidth="1"/>
    <col min="18" max="18" width="9.875" bestFit="1" customWidth="1"/>
  </cols>
  <sheetData>
    <row r="1" spans="1:20" ht="10.5" customHeight="1" x14ac:dyDescent="0.3"/>
    <row r="2" spans="1:20" ht="33" customHeight="1" thickBot="1" x14ac:dyDescent="0.35">
      <c r="A2" s="59" t="s">
        <v>45</v>
      </c>
      <c r="B2" s="60" t="s">
        <v>46</v>
      </c>
      <c r="C2" s="59" t="s">
        <v>47</v>
      </c>
      <c r="D2" s="61" t="s">
        <v>48</v>
      </c>
      <c r="E2" s="61" t="s">
        <v>22</v>
      </c>
      <c r="F2" s="101" t="s">
        <v>23</v>
      </c>
      <c r="J2" s="200" t="s">
        <v>75</v>
      </c>
      <c r="K2" s="200"/>
      <c r="L2" s="200"/>
      <c r="M2" s="200"/>
      <c r="N2" s="200"/>
    </row>
    <row r="3" spans="1:20" ht="17.25" thickBot="1" x14ac:dyDescent="0.35">
      <c r="A3" s="203"/>
      <c r="B3" s="62"/>
      <c r="C3" s="132"/>
      <c r="J3" s="198"/>
      <c r="K3" s="83"/>
      <c r="L3" s="196" t="s">
        <v>50</v>
      </c>
      <c r="M3" s="196"/>
      <c r="N3" s="196"/>
    </row>
    <row r="4" spans="1:20" ht="17.25" thickBot="1" x14ac:dyDescent="0.35">
      <c r="A4" s="204"/>
      <c r="B4" s="62"/>
      <c r="C4" s="132"/>
      <c r="J4" s="199"/>
      <c r="K4" s="84"/>
      <c r="L4" s="2" t="s">
        <v>52</v>
      </c>
      <c r="M4" s="2" t="s">
        <v>33</v>
      </c>
      <c r="N4" s="2" t="s">
        <v>53</v>
      </c>
      <c r="R4" s="197"/>
      <c r="S4" s="197"/>
      <c r="T4" s="197"/>
    </row>
    <row r="5" spans="1:20" ht="17.25" thickBot="1" x14ac:dyDescent="0.35">
      <c r="A5" s="203"/>
      <c r="B5" s="62"/>
      <c r="C5" s="132"/>
      <c r="J5" s="87" t="s">
        <v>54</v>
      </c>
      <c r="K5" s="2" t="s">
        <v>20</v>
      </c>
      <c r="L5" s="104" cm="1">
        <f t="array" ref="L5">SUM(IF(B:B="a",D:D))</f>
        <v>0</v>
      </c>
      <c r="M5" s="105" cm="1">
        <f t="array" ref="M5">SUM(IF(B:B="a",E:E))</f>
        <v>0</v>
      </c>
      <c r="N5" s="106" cm="1">
        <f t="array" ref="N5">SUM(IF(B:B="a",F:F))</f>
        <v>0</v>
      </c>
    </row>
    <row r="6" spans="1:20" ht="17.25" thickBot="1" x14ac:dyDescent="0.35">
      <c r="A6" s="205"/>
      <c r="B6" s="62"/>
      <c r="C6" s="132"/>
      <c r="J6" s="87" t="s">
        <v>49</v>
      </c>
      <c r="K6" s="2" t="s">
        <v>24</v>
      </c>
      <c r="L6" s="107" cm="1">
        <f t="array" ref="L6">SUM(IF(B:B="b",D:D))</f>
        <v>0</v>
      </c>
      <c r="M6" s="57" cm="1">
        <f t="array" ref="M6">SUM(IF(B:B="b",E:E))</f>
        <v>0</v>
      </c>
      <c r="N6" s="108" cm="1">
        <f t="array" ref="N6">SUM(IF(B:B="b",F:F))</f>
        <v>0</v>
      </c>
    </row>
    <row r="7" spans="1:20" ht="17.25" thickBot="1" x14ac:dyDescent="0.35">
      <c r="A7" s="205"/>
      <c r="B7" s="62"/>
      <c r="C7" s="132"/>
      <c r="J7" s="87" t="s">
        <v>51</v>
      </c>
      <c r="K7" s="2" t="s">
        <v>56</v>
      </c>
      <c r="L7" s="107" cm="1">
        <f t="array" ref="L7">SUM(IF(B:B="c",D:D))</f>
        <v>0</v>
      </c>
      <c r="M7" s="57" cm="1">
        <f t="array" ref="M7">SUM(IF(B:B="c",E:E))</f>
        <v>0</v>
      </c>
      <c r="N7" s="108" cm="1">
        <f t="array" ref="N7">SUM(IF(B:B="c",F:F))</f>
        <v>0</v>
      </c>
    </row>
    <row r="8" spans="1:20" ht="17.25" thickBot="1" x14ac:dyDescent="0.35">
      <c r="A8" s="205"/>
      <c r="B8" s="62"/>
      <c r="C8" s="132"/>
      <c r="J8" s="87" t="s">
        <v>57</v>
      </c>
      <c r="K8" s="2" t="s">
        <v>58</v>
      </c>
      <c r="L8" s="107" cm="1">
        <f t="array" ref="L8">SUM(IF(B:B="d",D:D))</f>
        <v>0</v>
      </c>
      <c r="M8" s="57" cm="1">
        <f t="array" ref="M8">SUM(IF(B:B="d",E:E))</f>
        <v>0</v>
      </c>
      <c r="N8" s="108" cm="1">
        <f t="array" ref="N8">SUM(IF(B:B="d",F:F))</f>
        <v>0</v>
      </c>
    </row>
    <row r="9" spans="1:20" ht="17.25" thickBot="1" x14ac:dyDescent="0.35">
      <c r="A9" s="205"/>
      <c r="B9" s="62"/>
      <c r="C9" s="132"/>
      <c r="J9" s="87" t="s">
        <v>55</v>
      </c>
      <c r="K9" s="2" t="s">
        <v>59</v>
      </c>
      <c r="L9" s="107" cm="1">
        <f t="array" ref="L9">SUM(IF(B:B="e",D:D))</f>
        <v>0</v>
      </c>
      <c r="M9" s="57" cm="1">
        <f t="array" ref="M9">SUM(IF(B:B="e",E:E))</f>
        <v>0</v>
      </c>
      <c r="N9" s="108" cm="1">
        <f t="array" ref="N9">SUM(IF(B:B="e",F:F))</f>
        <v>0</v>
      </c>
    </row>
    <row r="10" spans="1:20" ht="17.25" thickBot="1" x14ac:dyDescent="0.35">
      <c r="A10" s="205"/>
      <c r="B10" s="62"/>
      <c r="C10" s="132"/>
      <c r="J10" s="87" t="s">
        <v>60</v>
      </c>
      <c r="K10" s="2" t="s">
        <v>61</v>
      </c>
      <c r="L10" s="107" cm="1">
        <f t="array" ref="L10">SUM(IF(B:B="f",D:D))</f>
        <v>0</v>
      </c>
      <c r="M10" s="57" cm="1">
        <f t="array" ref="M10">SUM(IF(B:B="f",E:E))</f>
        <v>0</v>
      </c>
      <c r="N10" s="108" cm="1">
        <f t="array" ref="N10">SUM(IF(B:B="f",F:F))</f>
        <v>0</v>
      </c>
    </row>
    <row r="11" spans="1:20" ht="17.25" thickBot="1" x14ac:dyDescent="0.35">
      <c r="A11" s="204"/>
      <c r="B11" s="62"/>
      <c r="C11" s="132"/>
      <c r="J11" s="87" t="s">
        <v>62</v>
      </c>
      <c r="K11" s="2" t="s">
        <v>31</v>
      </c>
      <c r="L11" s="107" cm="1">
        <f t="array" ref="L11">SUM(IF(B:B="g",D:D))</f>
        <v>0</v>
      </c>
      <c r="M11" s="57" cm="1">
        <f t="array" ref="M11">SUM(IF(B:B="g",E:E))</f>
        <v>0</v>
      </c>
      <c r="N11" s="108" cm="1">
        <f t="array" ref="N11">SUM(IF(B:B="g",F:F))</f>
        <v>0</v>
      </c>
    </row>
    <row r="12" spans="1:20" ht="17.25" thickBot="1" x14ac:dyDescent="0.35">
      <c r="B12" s="62"/>
      <c r="C12" s="132"/>
      <c r="J12" s="87" t="s">
        <v>63</v>
      </c>
      <c r="K12" s="2" t="s">
        <v>32</v>
      </c>
      <c r="L12" s="107" cm="1">
        <f t="array" ref="L12">SUM(IF(B:B="h",D:D))</f>
        <v>0</v>
      </c>
      <c r="M12" s="57" cm="1">
        <f t="array" ref="M12">SUM(IF(B:B="h",E:E))</f>
        <v>0</v>
      </c>
      <c r="N12" s="108" cm="1">
        <f t="array" ref="N12">SUM(IF(B:B="h",F:F))</f>
        <v>0</v>
      </c>
    </row>
    <row r="13" spans="1:20" ht="17.25" thickBot="1" x14ac:dyDescent="0.35">
      <c r="A13" s="203"/>
      <c r="B13" s="62"/>
      <c r="C13" s="132"/>
      <c r="J13" s="87"/>
      <c r="K13" s="2"/>
      <c r="L13" s="107"/>
      <c r="M13" s="57"/>
      <c r="N13" s="108"/>
    </row>
    <row r="14" spans="1:20" ht="17.25" thickBot="1" x14ac:dyDescent="0.35">
      <c r="A14" s="204"/>
      <c r="B14" s="62"/>
      <c r="C14" s="132"/>
      <c r="J14" s="93"/>
      <c r="K14" s="94"/>
      <c r="L14" s="124"/>
      <c r="M14" s="125"/>
      <c r="N14" s="126"/>
    </row>
    <row r="15" spans="1:20" ht="17.25" thickBot="1" x14ac:dyDescent="0.35">
      <c r="A15" s="203"/>
      <c r="B15" s="62"/>
      <c r="C15" s="132"/>
      <c r="J15" s="87"/>
      <c r="K15" s="2" t="s">
        <v>4</v>
      </c>
      <c r="L15" s="127">
        <f>SUM(L5:L14)</f>
        <v>0</v>
      </c>
      <c r="M15" s="128">
        <f>SUM(M5:M14)</f>
        <v>0</v>
      </c>
      <c r="N15" s="129">
        <f>SUM(N5:N14)</f>
        <v>0</v>
      </c>
    </row>
    <row r="16" spans="1:20" x14ac:dyDescent="0.3">
      <c r="A16" s="204"/>
      <c r="B16" s="62"/>
      <c r="C16" s="132"/>
    </row>
    <row r="17" spans="1:6" x14ac:dyDescent="0.3">
      <c r="B17" s="62"/>
      <c r="C17" s="132"/>
    </row>
    <row r="18" spans="1:6" x14ac:dyDescent="0.3">
      <c r="B18" s="62"/>
      <c r="C18" s="132"/>
    </row>
    <row r="19" spans="1:6" x14ac:dyDescent="0.3">
      <c r="B19" s="62"/>
      <c r="C19" s="132"/>
    </row>
    <row r="20" spans="1:6" x14ac:dyDescent="0.3">
      <c r="B20" s="62"/>
      <c r="C20" s="132"/>
    </row>
    <row r="21" spans="1:6" x14ac:dyDescent="0.3">
      <c r="A21" s="203"/>
      <c r="B21" s="62"/>
      <c r="C21" s="132"/>
    </row>
    <row r="22" spans="1:6" ht="18" customHeight="1" x14ac:dyDescent="0.3">
      <c r="A22" s="204"/>
      <c r="B22" s="62"/>
      <c r="C22" s="132"/>
    </row>
    <row r="23" spans="1:6" x14ac:dyDescent="0.3">
      <c r="A23" s="206"/>
      <c r="B23" s="62"/>
      <c r="C23" s="132"/>
    </row>
    <row r="24" spans="1:6" x14ac:dyDescent="0.3">
      <c r="A24" s="207"/>
      <c r="B24" s="62"/>
      <c r="C24" s="132"/>
    </row>
    <row r="25" spans="1:6" x14ac:dyDescent="0.3">
      <c r="B25" s="62"/>
      <c r="C25" s="132"/>
    </row>
    <row r="26" spans="1:6" x14ac:dyDescent="0.3">
      <c r="B26" s="62"/>
      <c r="C26" s="133"/>
    </row>
    <row r="27" spans="1:6" x14ac:dyDescent="0.3">
      <c r="B27" s="62"/>
      <c r="C27" s="132"/>
    </row>
    <row r="28" spans="1:6" x14ac:dyDescent="0.3">
      <c r="B28" s="62"/>
      <c r="C28" s="132"/>
    </row>
    <row r="29" spans="1:6" x14ac:dyDescent="0.3">
      <c r="A29" s="203"/>
      <c r="B29" s="62"/>
      <c r="C29" s="132"/>
    </row>
    <row r="30" spans="1:6" x14ac:dyDescent="0.3">
      <c r="A30" s="205"/>
      <c r="B30" s="62"/>
      <c r="C30" s="132"/>
    </row>
    <row r="31" spans="1:6" x14ac:dyDescent="0.3">
      <c r="A31" s="204"/>
      <c r="B31" s="62"/>
      <c r="C31" s="132"/>
    </row>
    <row r="32" spans="1:6" x14ac:dyDescent="0.3">
      <c r="A32" s="203"/>
      <c r="B32" s="62"/>
      <c r="C32" s="132"/>
      <c r="D32" s="134"/>
      <c r="E32" s="134"/>
      <c r="F32" s="99"/>
    </row>
    <row r="33" spans="1:6" x14ac:dyDescent="0.3">
      <c r="A33" s="204"/>
      <c r="B33" s="62"/>
      <c r="C33" s="132"/>
      <c r="D33" s="134"/>
      <c r="E33" s="134"/>
      <c r="F33" s="99"/>
    </row>
    <row r="34" spans="1:6" x14ac:dyDescent="0.3">
      <c r="B34" s="62"/>
      <c r="C34" s="132"/>
      <c r="D34" s="134"/>
      <c r="E34" s="134"/>
      <c r="F34" s="99"/>
    </row>
    <row r="35" spans="1:6" x14ac:dyDescent="0.3">
      <c r="B35" s="62"/>
      <c r="C35" s="132"/>
      <c r="D35" s="134"/>
      <c r="E35" s="134"/>
      <c r="F35" s="99"/>
    </row>
    <row r="36" spans="1:6" x14ac:dyDescent="0.3">
      <c r="B36" s="62"/>
      <c r="C36" s="132"/>
      <c r="D36" s="134"/>
      <c r="E36" s="134"/>
      <c r="F36" s="99"/>
    </row>
    <row r="37" spans="1:6" x14ac:dyDescent="0.3">
      <c r="B37" s="62"/>
      <c r="C37" s="132"/>
      <c r="D37" s="134"/>
      <c r="E37" s="134"/>
      <c r="F37" s="99"/>
    </row>
    <row r="38" spans="1:6" x14ac:dyDescent="0.3">
      <c r="B38" s="62"/>
      <c r="C38" s="132"/>
      <c r="D38" s="134"/>
      <c r="E38" s="134"/>
      <c r="F38" s="99"/>
    </row>
    <row r="39" spans="1:6" x14ac:dyDescent="0.3">
      <c r="B39" s="62"/>
      <c r="C39" s="132"/>
      <c r="D39" s="134"/>
      <c r="E39" s="134"/>
      <c r="F39" s="99"/>
    </row>
    <row r="40" spans="1:6" x14ac:dyDescent="0.3">
      <c r="B40" s="62"/>
      <c r="C40" s="132"/>
      <c r="D40" s="134"/>
      <c r="E40" s="134"/>
      <c r="F40" s="99"/>
    </row>
    <row r="41" spans="1:6" x14ac:dyDescent="0.3">
      <c r="B41" s="62"/>
      <c r="C41" s="132"/>
      <c r="D41" s="134"/>
      <c r="E41" s="134"/>
      <c r="F41" s="99"/>
    </row>
    <row r="42" spans="1:6" x14ac:dyDescent="0.3">
      <c r="B42" s="62"/>
      <c r="C42" s="132"/>
      <c r="D42" s="134"/>
      <c r="E42" s="134"/>
      <c r="F42" s="99"/>
    </row>
    <row r="43" spans="1:6" x14ac:dyDescent="0.3">
      <c r="B43" s="62"/>
      <c r="C43" s="132"/>
      <c r="D43" s="134"/>
      <c r="E43" s="134"/>
      <c r="F43" s="99"/>
    </row>
    <row r="44" spans="1:6" x14ac:dyDescent="0.3">
      <c r="B44" s="62"/>
      <c r="C44" s="132"/>
      <c r="D44" s="134"/>
      <c r="E44" s="134"/>
      <c r="F44" s="99"/>
    </row>
    <row r="45" spans="1:6" x14ac:dyDescent="0.3">
      <c r="B45" s="62"/>
    </row>
  </sheetData>
  <mergeCells count="4">
    <mergeCell ref="L3:N3"/>
    <mergeCell ref="R4:T4"/>
    <mergeCell ref="J3:J4"/>
    <mergeCell ref="J2:N2"/>
  </mergeCells>
  <phoneticPr fontId="2" type="noConversion"/>
  <pageMargins left="3.937007874015748E-2" right="3.937007874015748E-2" top="0.70866141732283472" bottom="3.937007874015748E-2" header="0.31496062992125984" footer="0.31496062992125984"/>
  <pageSetup paperSize="9" scale="9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7F1F-C9D5-43A8-A08B-F234F703F355}">
  <sheetPr>
    <pageSetUpPr fitToPage="1"/>
  </sheetPr>
  <dimension ref="A1:T48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J1" sqref="J1:N1"/>
    </sheetView>
  </sheetViews>
  <sheetFormatPr defaultRowHeight="16.5" x14ac:dyDescent="0.3"/>
  <cols>
    <col min="1" max="1" width="17.375" style="58" customWidth="1"/>
    <col min="2" max="2" width="6.25" style="62" customWidth="1"/>
    <col min="3" max="3" width="47" style="42" customWidth="1"/>
    <col min="4" max="4" width="11.5" style="42" customWidth="1"/>
    <col min="5" max="5" width="12.875" style="42" customWidth="1"/>
    <col min="6" max="6" width="12.75" style="92" customWidth="1"/>
    <col min="7" max="7" width="9.625" style="85" customWidth="1"/>
    <col min="8" max="9" width="8.875" customWidth="1"/>
    <col min="10" max="10" width="12.5" customWidth="1"/>
    <col min="11" max="11" width="14.875" customWidth="1"/>
    <col min="12" max="14" width="20.375" customWidth="1"/>
    <col min="18" max="18" width="9.875" bestFit="1" customWidth="1"/>
  </cols>
  <sheetData>
    <row r="1" spans="1:20" ht="40.5" customHeight="1" thickBot="1" x14ac:dyDescent="0.35">
      <c r="A1" s="59" t="s">
        <v>45</v>
      </c>
      <c r="B1" s="60" t="s">
        <v>46</v>
      </c>
      <c r="C1" s="59" t="s">
        <v>47</v>
      </c>
      <c r="D1" s="59" t="s">
        <v>48</v>
      </c>
      <c r="E1" s="59" t="s">
        <v>22</v>
      </c>
      <c r="F1" s="135" t="s">
        <v>23</v>
      </c>
      <c r="J1" s="200" t="s">
        <v>76</v>
      </c>
      <c r="K1" s="200"/>
      <c r="L1" s="200"/>
      <c r="M1" s="200"/>
      <c r="N1" s="200"/>
    </row>
    <row r="2" spans="1:20" ht="17.25" thickBot="1" x14ac:dyDescent="0.35">
      <c r="A2" s="203"/>
      <c r="C2" s="44"/>
      <c r="D2" s="45"/>
      <c r="E2" s="45"/>
      <c r="F2" s="89"/>
      <c r="J2" s="198"/>
      <c r="K2" s="2"/>
      <c r="L2" s="196" t="s">
        <v>64</v>
      </c>
      <c r="M2" s="196"/>
      <c r="N2" s="196"/>
    </row>
    <row r="3" spans="1:20" ht="17.25" thickBot="1" x14ac:dyDescent="0.35">
      <c r="A3" s="205"/>
      <c r="C3" s="40"/>
      <c r="D3" s="45"/>
      <c r="E3" s="45"/>
      <c r="F3" s="89"/>
      <c r="J3" s="201"/>
      <c r="K3" s="3"/>
      <c r="L3" s="41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5"/>
      <c r="C4" s="40"/>
      <c r="D4" s="46"/>
      <c r="E4" s="46"/>
      <c r="F4" s="90"/>
      <c r="H4" s="158"/>
      <c r="J4" s="86" t="s">
        <v>54</v>
      </c>
      <c r="K4" s="96" t="s">
        <v>20</v>
      </c>
      <c r="L4" s="136" cm="1">
        <f t="array" ref="L4">SUM(IF(B:B="a",D:D))</f>
        <v>0</v>
      </c>
      <c r="M4" s="137" cm="1">
        <f t="array" ref="M4">SUM(IF(B:B="a",E:E))</f>
        <v>0</v>
      </c>
      <c r="N4" s="137" cm="1">
        <f t="array" ref="N4">SUM(IF(B:B="a",F:F))</f>
        <v>0</v>
      </c>
    </row>
    <row r="5" spans="1:20" ht="17.25" thickBot="1" x14ac:dyDescent="0.35">
      <c r="A5" s="205"/>
      <c r="C5" s="40"/>
      <c r="D5" s="46"/>
      <c r="E5" s="46"/>
      <c r="F5" s="90"/>
      <c r="J5" s="86" t="s">
        <v>49</v>
      </c>
      <c r="K5" s="2" t="s">
        <v>24</v>
      </c>
      <c r="L5" s="138" cm="1">
        <f t="array" ref="L5">SUM(IF(B:B="b",D:D))</f>
        <v>0</v>
      </c>
      <c r="M5" s="57" cm="1">
        <f t="array" ref="M5">SUM(IF(B:B="b",E:E))</f>
        <v>0</v>
      </c>
      <c r="N5" s="57" cm="1">
        <f t="array" ref="N5">SUM(IF(B:B="b",F:F))</f>
        <v>0</v>
      </c>
    </row>
    <row r="6" spans="1:20" ht="17.25" thickBot="1" x14ac:dyDescent="0.35">
      <c r="A6" s="205"/>
      <c r="C6" s="40"/>
      <c r="D6" s="45"/>
      <c r="E6" s="46"/>
      <c r="F6" s="89"/>
      <c r="J6" s="86" t="s">
        <v>51</v>
      </c>
      <c r="K6" s="2" t="s">
        <v>56</v>
      </c>
      <c r="L6" s="138" cm="1">
        <f t="array" ref="L6">SUM(IF(B:B="c",D:D))</f>
        <v>0</v>
      </c>
      <c r="M6" s="57" cm="1">
        <f t="array" ref="M6">SUM(IF(B:B="c",E:E))</f>
        <v>0</v>
      </c>
      <c r="N6" s="57" cm="1">
        <f t="array" ref="N6">SUM(IF(B:B="c",F:F))</f>
        <v>0</v>
      </c>
    </row>
    <row r="7" spans="1:20" ht="17.25" thickBot="1" x14ac:dyDescent="0.35">
      <c r="A7" s="204"/>
      <c r="C7" s="40"/>
      <c r="D7" s="45"/>
      <c r="E7" s="46"/>
      <c r="F7" s="89"/>
      <c r="J7" s="86" t="s">
        <v>57</v>
      </c>
      <c r="K7" s="2" t="s">
        <v>58</v>
      </c>
      <c r="L7" s="138" cm="1">
        <f t="array" ref="L7">SUM(IF(B:B="d",D:D))</f>
        <v>0</v>
      </c>
      <c r="M7" s="57" cm="1">
        <f t="array" ref="M7">SUM(IF(B:B="d",E:E))</f>
        <v>0</v>
      </c>
      <c r="N7" s="57" cm="1">
        <f t="array" ref="N7">SUM(IF(B:B="d",F:F))</f>
        <v>0</v>
      </c>
    </row>
    <row r="8" spans="1:20" ht="17.25" thickBot="1" x14ac:dyDescent="0.35">
      <c r="C8" s="40"/>
      <c r="D8" s="45"/>
      <c r="E8" s="45"/>
      <c r="F8" s="89"/>
      <c r="H8" s="158"/>
      <c r="J8" s="86" t="s">
        <v>55</v>
      </c>
      <c r="K8" s="2" t="s">
        <v>59</v>
      </c>
      <c r="L8" s="138" cm="1">
        <f t="array" ref="L8">SUM(IF(B:B="e",D:D))</f>
        <v>0</v>
      </c>
      <c r="M8" s="57" cm="1">
        <f t="array" ref="M8">SUM(IF(B:B="e",E:E))</f>
        <v>0</v>
      </c>
      <c r="N8" s="57" cm="1">
        <f t="array" ref="N8">SUM(IF(B:B="e",F:F))</f>
        <v>0</v>
      </c>
    </row>
    <row r="9" spans="1:20" ht="17.25" thickBot="1" x14ac:dyDescent="0.35">
      <c r="A9" s="203"/>
      <c r="C9" s="40"/>
      <c r="D9" s="45"/>
      <c r="E9" s="45"/>
      <c r="F9" s="89"/>
      <c r="J9" s="86" t="s">
        <v>60</v>
      </c>
      <c r="K9" s="2" t="s">
        <v>61</v>
      </c>
      <c r="L9" s="138" cm="1">
        <f t="array" ref="L9">SUM(IF(B:B="f",D:D))</f>
        <v>0</v>
      </c>
      <c r="M9" s="57" cm="1">
        <f t="array" ref="M9">SUM(IF(B:B="f",E:E))</f>
        <v>0</v>
      </c>
      <c r="N9" s="57" cm="1">
        <f t="array" ref="N9">SUM(IF(B:B="f",F:F))</f>
        <v>0</v>
      </c>
    </row>
    <row r="10" spans="1:20" ht="17.25" thickBot="1" x14ac:dyDescent="0.35">
      <c r="A10" s="205"/>
      <c r="C10" s="40"/>
      <c r="D10" s="45"/>
      <c r="E10" s="45"/>
      <c r="F10" s="89"/>
      <c r="J10" s="86" t="s">
        <v>62</v>
      </c>
      <c r="K10" s="2" t="s">
        <v>31</v>
      </c>
      <c r="L10" s="138" cm="1">
        <f t="array" ref="L10">SUM(IF(B:B="g",D:D))</f>
        <v>0</v>
      </c>
      <c r="M10" s="57" cm="1">
        <f t="array" ref="M10">SUM(IF(B:B="g",E:E))</f>
        <v>0</v>
      </c>
      <c r="N10" s="57" cm="1">
        <f t="array" ref="N10">SUM(IF(B:B="g",F:F))</f>
        <v>0</v>
      </c>
    </row>
    <row r="11" spans="1:20" ht="17.25" thickBot="1" x14ac:dyDescent="0.35">
      <c r="A11" s="204"/>
      <c r="C11" s="40"/>
      <c r="D11" s="46"/>
      <c r="E11" s="46"/>
      <c r="F11" s="90"/>
      <c r="H11" s="158"/>
      <c r="J11" s="86" t="s">
        <v>63</v>
      </c>
      <c r="K11" s="2" t="s">
        <v>32</v>
      </c>
      <c r="L11" s="138" cm="1">
        <f t="array" ref="L11">SUM(IF(B:B="h",D:D))</f>
        <v>0</v>
      </c>
      <c r="M11" s="57" cm="1">
        <f t="array" ref="M11">SUM(IF(B:B="h",E:E))</f>
        <v>0</v>
      </c>
      <c r="N11" s="57" cm="1">
        <f t="array" ref="N11">SUM(IF(B:B="h",F:F))</f>
        <v>0</v>
      </c>
    </row>
    <row r="12" spans="1:20" ht="17.25" thickBot="1" x14ac:dyDescent="0.35">
      <c r="C12" s="40"/>
      <c r="D12" s="46"/>
      <c r="E12" s="46"/>
      <c r="F12" s="90"/>
      <c r="J12" s="86"/>
      <c r="K12" s="2"/>
      <c r="L12" s="138"/>
      <c r="M12" s="57"/>
      <c r="N12" s="57"/>
    </row>
    <row r="13" spans="1:20" ht="17.25" thickBot="1" x14ac:dyDescent="0.35">
      <c r="C13" s="40"/>
      <c r="D13" s="46"/>
      <c r="E13" s="46"/>
      <c r="F13" s="90"/>
      <c r="J13" s="86"/>
      <c r="K13" s="94"/>
      <c r="L13" s="139"/>
      <c r="M13" s="125"/>
      <c r="N13" s="125"/>
    </row>
    <row r="14" spans="1:20" ht="17.25" thickBot="1" x14ac:dyDescent="0.35">
      <c r="A14" s="203"/>
      <c r="C14" s="40"/>
      <c r="D14" s="45"/>
      <c r="E14" s="45"/>
      <c r="F14" s="89"/>
      <c r="J14" s="86"/>
      <c r="K14" s="2" t="s">
        <v>4</v>
      </c>
      <c r="L14" s="140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A15" s="205"/>
      <c r="C15" s="40"/>
      <c r="D15" s="45"/>
      <c r="E15" s="45"/>
      <c r="F15" s="89"/>
    </row>
    <row r="16" spans="1:20" x14ac:dyDescent="0.3">
      <c r="A16" s="205"/>
      <c r="C16" s="40"/>
      <c r="D16" s="45"/>
      <c r="E16" s="45"/>
      <c r="F16" s="89"/>
    </row>
    <row r="17" spans="1:8" ht="18" customHeight="1" x14ac:dyDescent="0.3">
      <c r="A17" s="205"/>
      <c r="C17" s="40"/>
      <c r="D17" s="45"/>
      <c r="E17" s="45"/>
      <c r="F17" s="89"/>
    </row>
    <row r="18" spans="1:8" x14ac:dyDescent="0.3">
      <c r="A18" s="204"/>
      <c r="C18" s="40"/>
      <c r="D18" s="45"/>
      <c r="E18" s="45"/>
      <c r="F18" s="89"/>
      <c r="H18" s="158"/>
    </row>
    <row r="19" spans="1:8" x14ac:dyDescent="0.3">
      <c r="C19" s="40"/>
      <c r="D19" s="45"/>
      <c r="E19" s="45"/>
      <c r="F19" s="89"/>
    </row>
    <row r="20" spans="1:8" x14ac:dyDescent="0.3">
      <c r="C20" s="40"/>
      <c r="D20" s="45"/>
      <c r="E20" s="47"/>
      <c r="F20" s="91"/>
    </row>
    <row r="21" spans="1:8" x14ac:dyDescent="0.3">
      <c r="C21" s="44"/>
      <c r="D21" s="45"/>
      <c r="E21" s="45"/>
      <c r="F21" s="89"/>
    </row>
    <row r="22" spans="1:8" x14ac:dyDescent="0.3">
      <c r="C22" s="44"/>
      <c r="D22" s="45"/>
      <c r="E22" s="45"/>
      <c r="F22" s="89"/>
    </row>
    <row r="23" spans="1:8" x14ac:dyDescent="0.3">
      <c r="C23" s="40"/>
      <c r="D23" s="45"/>
      <c r="E23" s="45"/>
      <c r="F23" s="99"/>
    </row>
    <row r="24" spans="1:8" x14ac:dyDescent="0.3">
      <c r="C24" s="40"/>
      <c r="D24" s="45"/>
      <c r="E24" s="45"/>
      <c r="F24" s="99"/>
    </row>
    <row r="25" spans="1:8" x14ac:dyDescent="0.3">
      <c r="C25" s="40"/>
      <c r="D25" s="45"/>
      <c r="E25" s="45"/>
      <c r="F25" s="99"/>
      <c r="H25" s="158"/>
    </row>
    <row r="26" spans="1:8" x14ac:dyDescent="0.3">
      <c r="A26" s="203"/>
      <c r="C26" s="40"/>
      <c r="D26" s="45"/>
      <c r="E26" s="45"/>
      <c r="F26" s="99"/>
    </row>
    <row r="27" spans="1:8" x14ac:dyDescent="0.3">
      <c r="A27" s="204"/>
      <c r="C27" s="40"/>
      <c r="D27" s="45"/>
      <c r="E27" s="45"/>
      <c r="F27" s="99"/>
    </row>
    <row r="28" spans="1:8" x14ac:dyDescent="0.3">
      <c r="A28" s="203"/>
      <c r="C28" s="40"/>
      <c r="D28" s="45"/>
      <c r="E28" s="45"/>
      <c r="F28" s="99"/>
    </row>
    <row r="29" spans="1:8" x14ac:dyDescent="0.3">
      <c r="A29" s="204"/>
      <c r="C29" s="40"/>
      <c r="D29" s="45"/>
      <c r="E29" s="45"/>
      <c r="F29" s="99"/>
    </row>
    <row r="30" spans="1:8" x14ac:dyDescent="0.3">
      <c r="A30" s="203"/>
      <c r="C30" s="40"/>
      <c r="D30" s="45"/>
      <c r="E30" s="45"/>
      <c r="F30" s="99"/>
    </row>
    <row r="31" spans="1:8" x14ac:dyDescent="0.3">
      <c r="A31" s="205"/>
      <c r="C31" s="40"/>
      <c r="D31" s="45"/>
      <c r="E31" s="45"/>
      <c r="F31" s="99"/>
    </row>
    <row r="32" spans="1:8" x14ac:dyDescent="0.3">
      <c r="A32" s="205"/>
      <c r="C32" s="40"/>
      <c r="D32" s="45"/>
      <c r="E32" s="45"/>
      <c r="F32" s="99"/>
    </row>
    <row r="33" spans="1:8" x14ac:dyDescent="0.3">
      <c r="A33" s="205"/>
      <c r="C33" s="40"/>
      <c r="D33" s="45"/>
      <c r="E33" s="45"/>
      <c r="F33" s="99"/>
      <c r="H33" s="158"/>
    </row>
    <row r="34" spans="1:8" x14ac:dyDescent="0.3">
      <c r="A34" s="204"/>
      <c r="C34" s="40"/>
      <c r="D34" s="45"/>
      <c r="E34" s="45"/>
      <c r="F34" s="100"/>
    </row>
    <row r="35" spans="1:8" x14ac:dyDescent="0.3">
      <c r="C35" s="40"/>
      <c r="D35" s="45"/>
      <c r="E35" s="45"/>
      <c r="F35" s="99"/>
    </row>
    <row r="36" spans="1:8" x14ac:dyDescent="0.3">
      <c r="A36" s="203"/>
      <c r="C36" s="40"/>
      <c r="D36" s="45"/>
      <c r="E36" s="45"/>
      <c r="F36" s="99"/>
    </row>
    <row r="37" spans="1:8" x14ac:dyDescent="0.3">
      <c r="A37" s="205"/>
      <c r="C37" s="40"/>
      <c r="D37" s="45"/>
      <c r="E37" s="45"/>
      <c r="F37" s="99"/>
    </row>
    <row r="38" spans="1:8" x14ac:dyDescent="0.3">
      <c r="A38" s="205"/>
      <c r="C38" s="40"/>
      <c r="D38" s="45"/>
      <c r="E38" s="45"/>
      <c r="F38" s="99"/>
    </row>
    <row r="39" spans="1:8" x14ac:dyDescent="0.3">
      <c r="A39" s="205"/>
      <c r="C39" s="40"/>
      <c r="D39" s="45"/>
      <c r="E39" s="45"/>
      <c r="F39" s="99"/>
    </row>
    <row r="40" spans="1:8" x14ac:dyDescent="0.3">
      <c r="A40" s="205"/>
      <c r="C40" s="40"/>
      <c r="D40" s="45"/>
      <c r="E40" s="45"/>
      <c r="F40" s="99"/>
    </row>
    <row r="41" spans="1:8" x14ac:dyDescent="0.3">
      <c r="A41" s="204"/>
      <c r="C41" s="40"/>
      <c r="D41" s="45"/>
      <c r="E41" s="45"/>
      <c r="F41" s="99"/>
      <c r="G41" s="157"/>
    </row>
    <row r="42" spans="1:8" x14ac:dyDescent="0.3">
      <c r="C42" s="40"/>
      <c r="D42" s="45"/>
      <c r="E42" s="45"/>
      <c r="F42" s="99"/>
    </row>
    <row r="43" spans="1:8" x14ac:dyDescent="0.3">
      <c r="C43" s="40"/>
      <c r="D43" s="45"/>
      <c r="E43" s="45"/>
      <c r="F43" s="99"/>
    </row>
    <row r="44" spans="1:8" x14ac:dyDescent="0.3">
      <c r="C44" s="40"/>
      <c r="D44" s="45"/>
      <c r="E44" s="45"/>
      <c r="F44" s="99"/>
    </row>
    <row r="45" spans="1:8" x14ac:dyDescent="0.3">
      <c r="E45" s="57"/>
      <c r="F45" s="102"/>
    </row>
    <row r="46" spans="1:8" x14ac:dyDescent="0.3">
      <c r="E46" s="57"/>
      <c r="F46" s="102"/>
    </row>
    <row r="47" spans="1:8" x14ac:dyDescent="0.3">
      <c r="E47" s="57"/>
      <c r="F47" s="102"/>
    </row>
    <row r="48" spans="1:8" x14ac:dyDescent="0.3">
      <c r="E48" s="57"/>
      <c r="F48" s="102"/>
    </row>
  </sheetData>
  <mergeCells count="4">
    <mergeCell ref="L2:N2"/>
    <mergeCell ref="R3:T3"/>
    <mergeCell ref="J2:J3"/>
    <mergeCell ref="J1:N1"/>
  </mergeCells>
  <phoneticPr fontId="2" type="noConversion"/>
  <pageMargins left="3.937007874015748E-2" right="3.937007874015748E-2" top="0.70866141732283472" bottom="3.937007874015748E-2" header="0.31496062992125984" footer="0.31496062992125984"/>
  <pageSetup paperSize="9" scale="8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A4AE-D19F-43C6-9C34-E9C4E28AD82B}">
  <sheetPr>
    <pageSetUpPr fitToPage="1"/>
  </sheetPr>
  <dimension ref="A1:T54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J2" sqref="J2:J3"/>
    </sheetView>
  </sheetViews>
  <sheetFormatPr defaultRowHeight="16.5" x14ac:dyDescent="0.3"/>
  <cols>
    <col min="1" max="1" width="19.5" style="58" customWidth="1"/>
    <col min="2" max="2" width="6.25" style="62" customWidth="1"/>
    <col min="3" max="3" width="46.625" style="42" customWidth="1"/>
    <col min="4" max="4" width="7.875" style="57" customWidth="1"/>
    <col min="5" max="5" width="15.375" style="57" customWidth="1"/>
    <col min="6" max="6" width="12.25" style="102" customWidth="1"/>
    <col min="7" max="7" width="11.875" style="85" bestFit="1" customWidth="1"/>
    <col min="8" max="8" width="10.25" customWidth="1"/>
    <col min="10" max="10" width="12.5" customWidth="1"/>
    <col min="11" max="11" width="14.875" customWidth="1"/>
    <col min="12" max="14" width="19.125" customWidth="1"/>
    <col min="18" max="18" width="9.875" bestFit="1" customWidth="1"/>
  </cols>
  <sheetData>
    <row r="1" spans="1:20" ht="36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77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34"/>
      <c r="F2" s="100"/>
      <c r="J2" s="198"/>
      <c r="K2" s="2"/>
      <c r="L2" s="196" t="s">
        <v>65</v>
      </c>
      <c r="M2" s="196"/>
      <c r="N2" s="196"/>
    </row>
    <row r="3" spans="1:20" ht="17.25" thickBot="1" x14ac:dyDescent="0.35">
      <c r="A3" s="205"/>
      <c r="C3" s="40"/>
      <c r="D3" s="134"/>
      <c r="E3" s="141"/>
      <c r="F3" s="100"/>
      <c r="J3" s="199"/>
      <c r="K3" s="3"/>
      <c r="L3" s="2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5"/>
      <c r="C4" s="40"/>
      <c r="D4" s="134"/>
      <c r="E4" s="141"/>
      <c r="F4" s="100"/>
      <c r="J4" s="86" t="s">
        <v>54</v>
      </c>
      <c r="K4" s="2" t="s">
        <v>20</v>
      </c>
      <c r="L4" s="136" cm="1">
        <f t="array" ref="L4">SUM(IF(B:B="a",D:D))</f>
        <v>0</v>
      </c>
      <c r="M4" s="137" cm="1">
        <f t="array" ref="M4">SUM(IF(B:B="a",E:E))</f>
        <v>0</v>
      </c>
      <c r="N4" s="137" cm="1">
        <f t="array" ref="N4">SUM(IF(B:B="a",F:F))</f>
        <v>0</v>
      </c>
    </row>
    <row r="5" spans="1:20" ht="17.25" thickBot="1" x14ac:dyDescent="0.35">
      <c r="A5" s="204"/>
      <c r="C5" s="40"/>
      <c r="D5" s="134"/>
      <c r="E5" s="134"/>
      <c r="F5" s="100"/>
      <c r="J5" s="86" t="s">
        <v>49</v>
      </c>
      <c r="K5" s="2" t="s">
        <v>24</v>
      </c>
      <c r="L5" s="138" cm="1">
        <f t="array" ref="L5">SUM(IF(B:B="b",D:D))</f>
        <v>0</v>
      </c>
      <c r="M5" s="57" cm="1">
        <f t="array" ref="M5">SUM(IF(B:B="b",E:E))</f>
        <v>0</v>
      </c>
      <c r="N5" s="57" cm="1">
        <f t="array" ref="N5">SUM(IF(B:B="b",F:F))</f>
        <v>0</v>
      </c>
    </row>
    <row r="6" spans="1:20" ht="17.25" thickBot="1" x14ac:dyDescent="0.35">
      <c r="A6" s="203"/>
      <c r="C6" s="40"/>
      <c r="D6" s="134"/>
      <c r="E6" s="134"/>
      <c r="F6" s="100"/>
      <c r="J6" s="86" t="s">
        <v>51</v>
      </c>
      <c r="K6" s="2" t="s">
        <v>56</v>
      </c>
      <c r="L6" s="138" cm="1">
        <f t="array" ref="L6">SUM(IF(B:B="c",D:D))</f>
        <v>0</v>
      </c>
      <c r="M6" s="57" cm="1">
        <f t="array" ref="M6">SUM(IF(B:B="c",E:E))</f>
        <v>0</v>
      </c>
      <c r="N6" s="57" cm="1">
        <f t="array" ref="N6">SUM(IF(B:B="c",F:F))</f>
        <v>0</v>
      </c>
    </row>
    <row r="7" spans="1:20" ht="17.25" thickBot="1" x14ac:dyDescent="0.35">
      <c r="A7" s="205"/>
      <c r="C7" s="40"/>
      <c r="D7" s="134"/>
      <c r="E7" s="141"/>
      <c r="F7" s="100"/>
      <c r="J7" s="86" t="s">
        <v>57</v>
      </c>
      <c r="K7" s="2" t="s">
        <v>58</v>
      </c>
      <c r="L7" s="138" cm="1">
        <f t="array" ref="L7">SUM(IF(B:B="d",D:D))</f>
        <v>0</v>
      </c>
      <c r="M7" s="57" cm="1">
        <f t="array" ref="M7">SUM(IF(B:B="d",E:E))</f>
        <v>0</v>
      </c>
      <c r="N7" s="57" cm="1">
        <f t="array" ref="N7">SUM(IF(B:B="d",F:F))</f>
        <v>0</v>
      </c>
    </row>
    <row r="8" spans="1:20" ht="17.25" thickBot="1" x14ac:dyDescent="0.35">
      <c r="A8" s="204"/>
      <c r="C8" s="40"/>
      <c r="D8" s="134"/>
      <c r="E8" s="141"/>
      <c r="F8" s="100"/>
      <c r="J8" s="86" t="s">
        <v>55</v>
      </c>
      <c r="K8" s="2" t="s">
        <v>59</v>
      </c>
      <c r="L8" s="138" cm="1">
        <f t="array" ref="L8">SUM(IF(B:B="e",D:D))</f>
        <v>0</v>
      </c>
      <c r="M8" s="57" cm="1">
        <f t="array" ref="M8">SUM(IF(B:B="e",E:E))</f>
        <v>0</v>
      </c>
      <c r="N8" s="57" cm="1">
        <f t="array" ref="N8">SUM(IF(B:B="e",F:F))</f>
        <v>0</v>
      </c>
    </row>
    <row r="9" spans="1:20" ht="17.25" thickBot="1" x14ac:dyDescent="0.35">
      <c r="A9" s="206"/>
      <c r="C9" s="40"/>
      <c r="D9" s="141"/>
      <c r="E9" s="141"/>
      <c r="F9" s="100"/>
      <c r="J9" s="86" t="s">
        <v>60</v>
      </c>
      <c r="K9" s="2" t="s">
        <v>61</v>
      </c>
      <c r="L9" s="138" cm="1">
        <f t="array" ref="L9">SUM(IF(B:B="f",D:D))</f>
        <v>0</v>
      </c>
      <c r="M9" s="57" cm="1">
        <f t="array" ref="M9">SUM(IF(B:B="f",E:E))</f>
        <v>0</v>
      </c>
      <c r="N9" s="57" cm="1">
        <f t="array" ref="N9">SUM(IF(B:B="f",F:F))</f>
        <v>0</v>
      </c>
    </row>
    <row r="10" spans="1:20" ht="17.25" thickBot="1" x14ac:dyDescent="0.35">
      <c r="A10" s="207"/>
      <c r="C10" s="40"/>
      <c r="D10" s="141"/>
      <c r="E10" s="141"/>
      <c r="F10" s="99"/>
      <c r="J10" s="86" t="s">
        <v>62</v>
      </c>
      <c r="K10" s="2" t="s">
        <v>31</v>
      </c>
      <c r="L10" s="138" cm="1">
        <f t="array" ref="L10">SUM(IF(B:B="g",D:D))</f>
        <v>0</v>
      </c>
      <c r="M10" s="57" cm="1">
        <f t="array" ref="M10">SUM(IF(B:B="g",E:E))</f>
        <v>0</v>
      </c>
      <c r="N10" s="57" cm="1">
        <f t="array" ref="N10">SUM(IF(B:B="g",F:F))</f>
        <v>0</v>
      </c>
    </row>
    <row r="11" spans="1:20" ht="17.25" thickBot="1" x14ac:dyDescent="0.35">
      <c r="A11" s="203"/>
      <c r="C11" s="40"/>
      <c r="D11" s="141"/>
      <c r="E11" s="141"/>
      <c r="F11" s="99"/>
      <c r="J11" s="86" t="s">
        <v>63</v>
      </c>
      <c r="K11" s="2" t="s">
        <v>32</v>
      </c>
      <c r="L11" s="138" cm="1">
        <f t="array" ref="L11">SUM(IF(B:B="h",D:D))</f>
        <v>0</v>
      </c>
      <c r="M11" s="57" cm="1">
        <f t="array" ref="M11">SUM(IF(B:B="h",E:E))</f>
        <v>0</v>
      </c>
      <c r="N11" s="57" cm="1">
        <f t="array" ref="N11">SUM(IF(B:B="h",F:F))</f>
        <v>0</v>
      </c>
    </row>
    <row r="12" spans="1:20" ht="17.25" thickBot="1" x14ac:dyDescent="0.35">
      <c r="A12" s="205"/>
      <c r="C12" s="40"/>
      <c r="D12" s="141"/>
      <c r="E12" s="141"/>
      <c r="F12" s="99"/>
      <c r="J12" s="86"/>
      <c r="K12" s="2"/>
      <c r="L12" s="138"/>
      <c r="M12" s="57"/>
      <c r="N12" s="57"/>
    </row>
    <row r="13" spans="1:20" ht="17.25" thickBot="1" x14ac:dyDescent="0.35">
      <c r="A13" s="205"/>
      <c r="C13" s="40"/>
      <c r="D13" s="134"/>
      <c r="E13" s="134"/>
      <c r="F13" s="100"/>
      <c r="J13" s="86"/>
      <c r="K13" s="2"/>
      <c r="L13" s="139"/>
      <c r="M13" s="125"/>
      <c r="N13" s="125"/>
    </row>
    <row r="14" spans="1:20" ht="17.25" thickBot="1" x14ac:dyDescent="0.35">
      <c r="A14" s="204"/>
      <c r="C14" s="40"/>
      <c r="D14" s="134"/>
      <c r="E14" s="134"/>
      <c r="F14" s="100"/>
      <c r="J14" s="86"/>
      <c r="K14" s="2" t="s">
        <v>4</v>
      </c>
      <c r="L14" s="127">
        <f>SUM(L4:L13)</f>
        <v>0</v>
      </c>
      <c r="M14" s="128">
        <f>SUM(M4:M13)</f>
        <v>0</v>
      </c>
      <c r="N14" s="129">
        <f>SUM(N4:N13)</f>
        <v>0</v>
      </c>
    </row>
    <row r="15" spans="1:20" ht="17.25" thickBot="1" x14ac:dyDescent="0.35">
      <c r="C15" s="40"/>
      <c r="D15" s="134"/>
      <c r="E15" s="134"/>
      <c r="F15" s="100"/>
      <c r="K15" s="88"/>
    </row>
    <row r="16" spans="1:20" x14ac:dyDescent="0.3">
      <c r="C16" s="40"/>
      <c r="D16" s="134"/>
      <c r="E16" s="134"/>
      <c r="F16" s="100"/>
    </row>
    <row r="17" spans="1:7" x14ac:dyDescent="0.3">
      <c r="C17" s="40"/>
      <c r="D17" s="134"/>
      <c r="E17" s="134"/>
      <c r="F17" s="100"/>
    </row>
    <row r="18" spans="1:7" x14ac:dyDescent="0.3">
      <c r="C18" s="40"/>
      <c r="D18" s="134"/>
      <c r="E18" s="134"/>
      <c r="F18" s="100"/>
    </row>
    <row r="19" spans="1:7" x14ac:dyDescent="0.3">
      <c r="A19" s="203"/>
      <c r="C19" s="40"/>
      <c r="D19" s="134"/>
      <c r="E19" s="134"/>
      <c r="F19" s="100"/>
    </row>
    <row r="20" spans="1:7" x14ac:dyDescent="0.3">
      <c r="A20" s="204"/>
      <c r="C20" s="40"/>
      <c r="D20" s="134"/>
      <c r="E20" s="142"/>
      <c r="F20" s="143"/>
    </row>
    <row r="21" spans="1:7" x14ac:dyDescent="0.3">
      <c r="A21" s="203"/>
      <c r="C21" s="40"/>
      <c r="D21" s="134"/>
      <c r="E21" s="134"/>
      <c r="F21" s="100"/>
    </row>
    <row r="22" spans="1:7" x14ac:dyDescent="0.3">
      <c r="A22" s="204"/>
      <c r="C22" s="40"/>
      <c r="D22" s="134"/>
      <c r="E22" s="134"/>
      <c r="F22" s="100"/>
    </row>
    <row r="23" spans="1:7" x14ac:dyDescent="0.3">
      <c r="C23" s="44"/>
      <c r="D23" s="134"/>
      <c r="E23" s="134"/>
      <c r="F23" s="100"/>
      <c r="G23" s="157"/>
    </row>
    <row r="24" spans="1:7" x14ac:dyDescent="0.3">
      <c r="C24" s="40"/>
      <c r="D24" s="134"/>
      <c r="E24" s="134"/>
      <c r="F24" s="99"/>
    </row>
    <row r="25" spans="1:7" x14ac:dyDescent="0.3">
      <c r="C25" s="40"/>
      <c r="D25" s="134"/>
      <c r="E25" s="134"/>
      <c r="F25" s="99"/>
    </row>
    <row r="26" spans="1:7" x14ac:dyDescent="0.3">
      <c r="A26" s="203"/>
      <c r="C26" s="40"/>
      <c r="D26" s="134"/>
      <c r="E26" s="134"/>
      <c r="F26" s="99"/>
    </row>
    <row r="27" spans="1:7" x14ac:dyDescent="0.3">
      <c r="A27" s="204"/>
      <c r="C27" s="40"/>
      <c r="D27" s="134"/>
      <c r="E27" s="134"/>
      <c r="F27" s="99"/>
    </row>
    <row r="28" spans="1:7" x14ac:dyDescent="0.3">
      <c r="A28" s="203"/>
      <c r="C28" s="40"/>
      <c r="D28" s="134"/>
      <c r="E28" s="134"/>
      <c r="F28" s="99"/>
    </row>
    <row r="29" spans="1:7" x14ac:dyDescent="0.3">
      <c r="A29" s="204"/>
      <c r="C29" s="40"/>
      <c r="D29" s="134"/>
      <c r="E29" s="134"/>
      <c r="F29" s="99"/>
    </row>
    <row r="30" spans="1:7" x14ac:dyDescent="0.3">
      <c r="C30" s="40"/>
      <c r="D30" s="134"/>
      <c r="E30" s="134"/>
      <c r="F30" s="99"/>
    </row>
    <row r="31" spans="1:7" x14ac:dyDescent="0.3">
      <c r="C31" s="40"/>
      <c r="D31" s="134"/>
      <c r="E31" s="134"/>
      <c r="F31" s="99"/>
    </row>
    <row r="32" spans="1:7" x14ac:dyDescent="0.3">
      <c r="A32" s="203"/>
      <c r="C32" s="40"/>
      <c r="D32" s="134"/>
      <c r="E32" s="134"/>
      <c r="F32" s="99"/>
    </row>
    <row r="33" spans="1:6" x14ac:dyDescent="0.3">
      <c r="A33" s="205"/>
      <c r="C33" s="40"/>
      <c r="D33" s="134"/>
      <c r="E33" s="134"/>
      <c r="F33" s="99"/>
    </row>
    <row r="34" spans="1:6" x14ac:dyDescent="0.3">
      <c r="A34" s="205"/>
      <c r="C34" s="40"/>
      <c r="D34" s="134"/>
      <c r="E34" s="134"/>
      <c r="F34" s="99"/>
    </row>
    <row r="35" spans="1:6" x14ac:dyDescent="0.3">
      <c r="A35" s="204"/>
      <c r="C35" s="40"/>
      <c r="D35" s="134"/>
      <c r="E35" s="134"/>
      <c r="F35" s="99"/>
    </row>
    <row r="36" spans="1:6" x14ac:dyDescent="0.3">
      <c r="C36" s="40"/>
      <c r="D36" s="165"/>
      <c r="E36" s="134"/>
      <c r="F36" s="100"/>
    </row>
    <row r="37" spans="1:6" x14ac:dyDescent="0.3">
      <c r="C37" s="40"/>
      <c r="D37" s="134"/>
      <c r="E37" s="134"/>
      <c r="F37" s="100"/>
    </row>
    <row r="38" spans="1:6" x14ac:dyDescent="0.3">
      <c r="C38" s="40"/>
      <c r="D38" s="134"/>
      <c r="E38" s="134"/>
      <c r="F38" s="99"/>
    </row>
    <row r="39" spans="1:6" x14ac:dyDescent="0.3">
      <c r="C39" s="40"/>
      <c r="D39" s="134"/>
      <c r="E39" s="134"/>
      <c r="F39" s="99"/>
    </row>
    <row r="40" spans="1:6" x14ac:dyDescent="0.3">
      <c r="C40" s="40"/>
      <c r="D40" s="134"/>
      <c r="E40" s="134"/>
      <c r="F40" s="99"/>
    </row>
    <row r="41" spans="1:6" x14ac:dyDescent="0.3">
      <c r="C41" s="40"/>
      <c r="D41" s="134"/>
      <c r="E41" s="134"/>
      <c r="F41" s="99"/>
    </row>
    <row r="42" spans="1:6" x14ac:dyDescent="0.3">
      <c r="C42" s="40"/>
      <c r="D42" s="134"/>
      <c r="E42" s="134"/>
      <c r="F42" s="99"/>
    </row>
    <row r="43" spans="1:6" x14ac:dyDescent="0.3">
      <c r="C43" s="40"/>
      <c r="D43" s="134"/>
      <c r="E43" s="134"/>
      <c r="F43" s="99"/>
    </row>
    <row r="44" spans="1:6" x14ac:dyDescent="0.3">
      <c r="C44" s="40"/>
      <c r="D44" s="134"/>
      <c r="E44" s="134"/>
      <c r="F44" s="99"/>
    </row>
    <row r="45" spans="1:6" x14ac:dyDescent="0.3">
      <c r="C45" s="40"/>
      <c r="D45" s="134"/>
      <c r="E45" s="134"/>
      <c r="F45" s="99"/>
    </row>
    <row r="46" spans="1:6" x14ac:dyDescent="0.3">
      <c r="C46" s="40"/>
      <c r="D46" s="134"/>
      <c r="E46" s="134"/>
      <c r="F46" s="99"/>
    </row>
    <row r="47" spans="1:6" x14ac:dyDescent="0.3">
      <c r="C47" s="40"/>
      <c r="D47" s="134"/>
      <c r="E47" s="134"/>
      <c r="F47" s="99"/>
    </row>
    <row r="48" spans="1:6" x14ac:dyDescent="0.3">
      <c r="C48" s="40"/>
      <c r="D48" s="134"/>
      <c r="E48" s="134"/>
      <c r="F48" s="99"/>
    </row>
    <row r="49" spans="3:6" x14ac:dyDescent="0.3">
      <c r="C49" s="40"/>
      <c r="D49" s="134"/>
      <c r="E49" s="134"/>
      <c r="F49" s="99"/>
    </row>
    <row r="50" spans="3:6" x14ac:dyDescent="0.3">
      <c r="C50" s="40"/>
      <c r="D50" s="134"/>
      <c r="E50" s="134"/>
      <c r="F50" s="99"/>
    </row>
    <row r="51" spans="3:6" x14ac:dyDescent="0.3">
      <c r="C51" s="40"/>
      <c r="D51" s="134"/>
      <c r="E51" s="134"/>
      <c r="F51" s="99"/>
    </row>
    <row r="52" spans="3:6" x14ac:dyDescent="0.3">
      <c r="C52" s="40"/>
      <c r="D52" s="134"/>
      <c r="E52" s="134"/>
      <c r="F52" s="99"/>
    </row>
    <row r="53" spans="3:6" x14ac:dyDescent="0.3">
      <c r="C53" s="40"/>
      <c r="D53" s="134"/>
      <c r="E53" s="134"/>
      <c r="F53" s="99"/>
    </row>
    <row r="54" spans="3:6" x14ac:dyDescent="0.3">
      <c r="C54" s="40"/>
      <c r="D54" s="134"/>
      <c r="E54" s="134"/>
      <c r="F54" s="99"/>
    </row>
  </sheetData>
  <mergeCells count="4">
    <mergeCell ref="L2:N2"/>
    <mergeCell ref="R3:T3"/>
    <mergeCell ref="J2:J3"/>
    <mergeCell ref="J1:N1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E378-D060-4AB4-BF30-B3C36CAA7B56}">
  <sheetPr>
    <pageSetUpPr fitToPage="1"/>
  </sheetPr>
  <dimension ref="A1:T41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E15" sqref="E15"/>
    </sheetView>
  </sheetViews>
  <sheetFormatPr defaultRowHeight="16.5" x14ac:dyDescent="0.3"/>
  <cols>
    <col min="1" max="1" width="18" style="58" customWidth="1"/>
    <col min="2" max="2" width="4.875" style="62" customWidth="1"/>
    <col min="3" max="3" width="43.25" style="42" customWidth="1"/>
    <col min="4" max="4" width="9.25" style="57" customWidth="1"/>
    <col min="5" max="5" width="14.5" style="57" customWidth="1"/>
    <col min="6" max="6" width="13.875" style="102" customWidth="1"/>
    <col min="7" max="7" width="9" style="85"/>
    <col min="8" max="8" width="12.125" customWidth="1"/>
    <col min="10" max="10" width="12.5" customWidth="1"/>
    <col min="11" max="11" width="14.875" customWidth="1"/>
    <col min="12" max="14" width="20.375" customWidth="1"/>
    <col min="18" max="18" width="9.875" bestFit="1" customWidth="1"/>
  </cols>
  <sheetData>
    <row r="1" spans="1:20" ht="38.25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78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41"/>
      <c r="F2" s="100"/>
      <c r="J2" s="198"/>
      <c r="K2" s="2"/>
      <c r="L2" s="196" t="s">
        <v>66</v>
      </c>
      <c r="M2" s="196"/>
      <c r="N2" s="196"/>
    </row>
    <row r="3" spans="1:20" ht="17.25" thickBot="1" x14ac:dyDescent="0.35">
      <c r="A3" s="205"/>
      <c r="C3" s="40"/>
      <c r="D3" s="134"/>
      <c r="E3" s="134"/>
      <c r="F3" s="100"/>
      <c r="J3" s="199"/>
      <c r="K3" s="3"/>
      <c r="L3" s="41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5"/>
      <c r="C4" s="40"/>
      <c r="D4" s="134"/>
      <c r="E4" s="141"/>
      <c r="F4" s="100"/>
      <c r="J4" s="87" t="s">
        <v>54</v>
      </c>
      <c r="K4" s="96" t="s">
        <v>20</v>
      </c>
      <c r="L4" s="136" cm="1">
        <f t="array" ref="L4">SUM(IF(B:B="a",D:D))</f>
        <v>0</v>
      </c>
      <c r="M4" s="137" cm="1">
        <f t="array" ref="M4">SUM(IF(B:B="a",E:E))</f>
        <v>0</v>
      </c>
      <c r="N4" s="137" cm="1">
        <f t="array" ref="N4">SUM(IF(B:B="a",F:F))</f>
        <v>0</v>
      </c>
    </row>
    <row r="5" spans="1:20" ht="17.25" thickBot="1" x14ac:dyDescent="0.35">
      <c r="A5" s="205"/>
      <c r="C5" s="40"/>
      <c r="D5" s="141"/>
      <c r="E5" s="141"/>
      <c r="F5" s="100"/>
      <c r="J5" s="87" t="s">
        <v>49</v>
      </c>
      <c r="K5" s="2" t="s">
        <v>24</v>
      </c>
      <c r="L5" s="138" cm="1">
        <f t="array" ref="L5">SUM(IF(B:B="b",D:D))</f>
        <v>0</v>
      </c>
      <c r="M5" s="57" cm="1">
        <f t="array" ref="M5">SUM(IF(B:B="b",E:E))</f>
        <v>0</v>
      </c>
      <c r="N5" s="57" cm="1">
        <f t="array" ref="N5">SUM(IF(B:B="b",F:F))</f>
        <v>0</v>
      </c>
    </row>
    <row r="6" spans="1:20" ht="17.25" thickBot="1" x14ac:dyDescent="0.35">
      <c r="A6" s="204"/>
      <c r="C6" s="40"/>
      <c r="D6" s="141"/>
      <c r="E6" s="141"/>
      <c r="F6" s="99"/>
      <c r="J6" s="87" t="s">
        <v>51</v>
      </c>
      <c r="K6" s="2" t="s">
        <v>56</v>
      </c>
      <c r="L6" s="138" cm="1">
        <f t="array" ref="L6">SUM(IF(B:B="c",D:D))</f>
        <v>0</v>
      </c>
      <c r="M6" s="57" cm="1">
        <f t="array" ref="M6">SUM(IF(B:B="c",E:E))</f>
        <v>0</v>
      </c>
      <c r="N6" s="57" cm="1">
        <f t="array" ref="N6">SUM(IF(B:B="c",F:F))</f>
        <v>0</v>
      </c>
    </row>
    <row r="7" spans="1:20" ht="17.25" thickBot="1" x14ac:dyDescent="0.35">
      <c r="C7" s="40"/>
      <c r="D7" s="141"/>
      <c r="E7" s="141"/>
      <c r="F7" s="99"/>
      <c r="J7" s="87" t="s">
        <v>57</v>
      </c>
      <c r="K7" s="2" t="s">
        <v>58</v>
      </c>
      <c r="L7" s="138" cm="1">
        <f t="array" ref="L7">SUM(IF(B:B="d",D:D))</f>
        <v>0</v>
      </c>
      <c r="M7" s="57" cm="1">
        <f t="array" ref="M7">SUM(IF(B:B="d",E:E))</f>
        <v>0</v>
      </c>
      <c r="N7" s="57" cm="1">
        <f t="array" ref="N7">SUM(IF(B:B="d",F:F))</f>
        <v>0</v>
      </c>
    </row>
    <row r="8" spans="1:20" ht="17.25" thickBot="1" x14ac:dyDescent="0.35">
      <c r="A8" s="203"/>
      <c r="C8" s="40"/>
      <c r="D8" s="141"/>
      <c r="E8" s="141"/>
      <c r="F8" s="99"/>
      <c r="J8" s="87" t="s">
        <v>55</v>
      </c>
      <c r="K8" s="2" t="s">
        <v>59</v>
      </c>
      <c r="L8" s="138" cm="1">
        <f t="array" ref="L8">SUM(IF(B:B="e",D:D))</f>
        <v>0</v>
      </c>
      <c r="M8" s="57" cm="1">
        <f t="array" ref="M8">SUM(IF(B:B="e",E:E))</f>
        <v>0</v>
      </c>
      <c r="N8" s="57" cm="1">
        <f t="array" ref="N8">SUM(IF(B:B="e",F:F))</f>
        <v>0</v>
      </c>
    </row>
    <row r="9" spans="1:20" ht="17.25" thickBot="1" x14ac:dyDescent="0.35">
      <c r="A9" s="204"/>
      <c r="C9" s="40"/>
      <c r="D9" s="134"/>
      <c r="E9" s="134"/>
      <c r="F9" s="100"/>
      <c r="J9" s="87" t="s">
        <v>60</v>
      </c>
      <c r="K9" s="2" t="s">
        <v>61</v>
      </c>
      <c r="L9" s="138" cm="1">
        <f t="array" ref="L9">SUM(IF(B:B="f",D:D))</f>
        <v>0</v>
      </c>
      <c r="M9" s="57" cm="1">
        <f t="array" ref="M9">SUM(IF(B:B="f",E:E))</f>
        <v>0</v>
      </c>
      <c r="N9" s="57" cm="1">
        <f t="array" ref="N9">SUM(IF(B:B="f",F:F))</f>
        <v>0</v>
      </c>
    </row>
    <row r="10" spans="1:20" ht="17.25" thickBot="1" x14ac:dyDescent="0.35">
      <c r="C10" s="40"/>
      <c r="D10" s="134"/>
      <c r="E10" s="134"/>
      <c r="F10" s="100"/>
      <c r="J10" s="87" t="s">
        <v>62</v>
      </c>
      <c r="K10" s="2" t="s">
        <v>31</v>
      </c>
      <c r="L10" s="138" cm="1">
        <f t="array" ref="L10">SUM(IF(B:B="g",D:D))</f>
        <v>0</v>
      </c>
      <c r="M10" s="57" cm="1">
        <f t="array" ref="M10">SUM(IF(B:B="g",E:E))</f>
        <v>0</v>
      </c>
      <c r="N10" s="57" cm="1">
        <f t="array" ref="N10">SUM(IF(B:B="g",F:F))</f>
        <v>0</v>
      </c>
    </row>
    <row r="11" spans="1:20" ht="17.25" thickBot="1" x14ac:dyDescent="0.35">
      <c r="C11" s="40"/>
      <c r="D11" s="134"/>
      <c r="E11" s="134"/>
      <c r="F11" s="100"/>
      <c r="J11" s="87" t="s">
        <v>63</v>
      </c>
      <c r="K11" s="2" t="s">
        <v>32</v>
      </c>
      <c r="L11" s="138" cm="1">
        <f t="array" ref="L11">SUM(IF(B:B="h",D:D))</f>
        <v>0</v>
      </c>
      <c r="M11" s="57" cm="1">
        <f t="array" ref="M11">SUM(IF(B:B="h",E:E))</f>
        <v>0</v>
      </c>
      <c r="N11" s="57" cm="1">
        <f t="array" ref="N11">SUM(IF(B:B="h",F:F))</f>
        <v>0</v>
      </c>
    </row>
    <row r="12" spans="1:20" ht="17.25" thickBot="1" x14ac:dyDescent="0.35">
      <c r="C12" s="40"/>
      <c r="D12" s="134"/>
      <c r="E12" s="134"/>
      <c r="F12" s="100"/>
      <c r="J12" s="87"/>
      <c r="K12" s="2"/>
      <c r="L12" s="138"/>
      <c r="M12" s="57"/>
      <c r="N12" s="57"/>
    </row>
    <row r="13" spans="1:20" ht="17.25" thickBot="1" x14ac:dyDescent="0.35">
      <c r="C13" s="44"/>
      <c r="D13" s="134"/>
      <c r="E13" s="134"/>
      <c r="F13" s="100"/>
      <c r="J13" s="87"/>
      <c r="K13" s="2"/>
      <c r="L13" s="139"/>
      <c r="M13" s="125"/>
      <c r="N13" s="125"/>
    </row>
    <row r="14" spans="1:20" ht="17.25" thickBot="1" x14ac:dyDescent="0.35">
      <c r="C14" s="44"/>
      <c r="D14" s="134"/>
      <c r="E14" s="134"/>
      <c r="F14" s="100"/>
      <c r="J14" s="87"/>
      <c r="K14" s="2" t="s">
        <v>4</v>
      </c>
      <c r="L14" s="127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C15" s="44"/>
      <c r="D15" s="134"/>
      <c r="E15" s="134"/>
      <c r="F15" s="100"/>
    </row>
    <row r="16" spans="1:20" x14ac:dyDescent="0.3">
      <c r="C16" s="40"/>
      <c r="D16" s="134"/>
      <c r="E16" s="134"/>
      <c r="F16" s="100"/>
    </row>
    <row r="17" spans="1:6" x14ac:dyDescent="0.3">
      <c r="A17" s="203"/>
      <c r="C17" s="40"/>
      <c r="D17" s="134"/>
      <c r="E17" s="134"/>
      <c r="F17" s="100"/>
    </row>
    <row r="18" spans="1:6" x14ac:dyDescent="0.3">
      <c r="A18" s="204"/>
      <c r="C18" s="40"/>
      <c r="D18" s="134"/>
      <c r="E18" s="134"/>
      <c r="F18" s="100"/>
    </row>
    <row r="19" spans="1:6" x14ac:dyDescent="0.3">
      <c r="A19" s="203"/>
      <c r="C19" s="44"/>
      <c r="D19" s="134"/>
      <c r="E19" s="134"/>
      <c r="F19" s="100"/>
    </row>
    <row r="20" spans="1:6" x14ac:dyDescent="0.3">
      <c r="A20" s="204"/>
      <c r="C20" s="40"/>
      <c r="D20" s="134"/>
      <c r="E20" s="134"/>
      <c r="F20" s="99"/>
    </row>
    <row r="21" spans="1:6" x14ac:dyDescent="0.3">
      <c r="C21" s="40"/>
      <c r="D21" s="134"/>
      <c r="E21" s="134"/>
      <c r="F21" s="99"/>
    </row>
    <row r="22" spans="1:6" x14ac:dyDescent="0.3">
      <c r="A22" s="203"/>
      <c r="C22" s="40"/>
      <c r="D22" s="134"/>
      <c r="E22" s="134"/>
      <c r="F22" s="99"/>
    </row>
    <row r="23" spans="1:6" x14ac:dyDescent="0.3">
      <c r="A23" s="205"/>
      <c r="C23" s="40"/>
      <c r="D23" s="134"/>
      <c r="E23" s="134"/>
      <c r="F23" s="99"/>
    </row>
    <row r="24" spans="1:6" x14ac:dyDescent="0.3">
      <c r="A24" s="204"/>
      <c r="C24" s="40"/>
      <c r="D24" s="134"/>
      <c r="E24" s="134"/>
      <c r="F24" s="99"/>
    </row>
    <row r="25" spans="1:6" x14ac:dyDescent="0.3">
      <c r="C25" s="40"/>
      <c r="D25" s="134"/>
      <c r="E25" s="134"/>
      <c r="F25" s="99"/>
    </row>
    <row r="26" spans="1:6" x14ac:dyDescent="0.3">
      <c r="C26" s="40"/>
      <c r="D26" s="134"/>
      <c r="E26" s="134"/>
      <c r="F26" s="100"/>
    </row>
    <row r="27" spans="1:6" x14ac:dyDescent="0.3">
      <c r="A27" s="203"/>
      <c r="C27" s="40"/>
      <c r="D27" s="134"/>
      <c r="E27" s="134"/>
      <c r="F27" s="100"/>
    </row>
    <row r="28" spans="1:6" x14ac:dyDescent="0.3">
      <c r="A28" s="204"/>
      <c r="C28" s="40"/>
      <c r="D28" s="134"/>
      <c r="E28" s="134"/>
      <c r="F28" s="100"/>
    </row>
    <row r="29" spans="1:6" x14ac:dyDescent="0.3">
      <c r="C29" s="40"/>
      <c r="D29" s="134"/>
      <c r="E29" s="134"/>
      <c r="F29" s="100"/>
    </row>
    <row r="30" spans="1:6" x14ac:dyDescent="0.3">
      <c r="C30" s="40"/>
      <c r="D30" s="134"/>
      <c r="E30" s="134"/>
      <c r="F30" s="99"/>
    </row>
    <row r="31" spans="1:6" x14ac:dyDescent="0.3">
      <c r="C31" s="40"/>
      <c r="D31" s="134"/>
      <c r="E31" s="134"/>
      <c r="F31" s="99"/>
    </row>
    <row r="32" spans="1:6" x14ac:dyDescent="0.3">
      <c r="C32" s="40"/>
      <c r="D32" s="134"/>
      <c r="E32" s="134"/>
      <c r="F32" s="99"/>
    </row>
    <row r="33" spans="3:6" x14ac:dyDescent="0.3">
      <c r="C33" s="40"/>
      <c r="D33" s="134"/>
      <c r="E33" s="134"/>
      <c r="F33" s="99"/>
    </row>
    <row r="34" spans="3:6" x14ac:dyDescent="0.3">
      <c r="C34" s="40"/>
      <c r="D34" s="134"/>
      <c r="E34" s="134"/>
      <c r="F34" s="99"/>
    </row>
    <row r="35" spans="3:6" x14ac:dyDescent="0.3">
      <c r="C35" s="40"/>
      <c r="D35" s="134"/>
      <c r="E35" s="134"/>
      <c r="F35" s="99"/>
    </row>
    <row r="36" spans="3:6" x14ac:dyDescent="0.3">
      <c r="C36" s="40"/>
      <c r="D36" s="134"/>
      <c r="E36" s="134"/>
      <c r="F36" s="99"/>
    </row>
    <row r="37" spans="3:6" x14ac:dyDescent="0.3">
      <c r="C37" s="40"/>
      <c r="D37" s="134"/>
      <c r="E37" s="134"/>
      <c r="F37" s="99"/>
    </row>
    <row r="38" spans="3:6" x14ac:dyDescent="0.3">
      <c r="C38" s="40"/>
      <c r="D38" s="134"/>
      <c r="E38" s="134"/>
      <c r="F38" s="99"/>
    </row>
    <row r="39" spans="3:6" x14ac:dyDescent="0.3">
      <c r="C39" s="40"/>
      <c r="D39" s="134"/>
      <c r="E39" s="134"/>
      <c r="F39" s="99"/>
    </row>
    <row r="40" spans="3:6" x14ac:dyDescent="0.3">
      <c r="C40" s="40"/>
      <c r="D40" s="134"/>
      <c r="E40" s="134"/>
      <c r="F40" s="99"/>
    </row>
    <row r="41" spans="3:6" x14ac:dyDescent="0.3">
      <c r="C41" s="40"/>
      <c r="D41" s="134"/>
      <c r="E41" s="134"/>
      <c r="F41" s="99"/>
    </row>
  </sheetData>
  <mergeCells count="4">
    <mergeCell ref="L2:N2"/>
    <mergeCell ref="R3:T3"/>
    <mergeCell ref="J2:J3"/>
    <mergeCell ref="J1:N1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2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88BC-A3C2-46D4-B3CB-46DCD5268913}">
  <sheetPr>
    <pageSetUpPr fitToPage="1"/>
  </sheetPr>
  <dimension ref="A1:T52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D10" sqref="D10"/>
    </sheetView>
  </sheetViews>
  <sheetFormatPr defaultRowHeight="16.5" x14ac:dyDescent="0.3"/>
  <cols>
    <col min="1" max="1" width="15.5" style="58" customWidth="1"/>
    <col min="2" max="2" width="6.25" style="62" customWidth="1"/>
    <col min="3" max="3" width="34.625" style="42" customWidth="1"/>
    <col min="4" max="4" width="8.5" style="57" customWidth="1"/>
    <col min="5" max="5" width="13.25" style="57" customWidth="1"/>
    <col min="6" max="6" width="12.125" style="102" customWidth="1"/>
    <col min="7" max="7" width="8.75" style="85" customWidth="1"/>
    <col min="8" max="8" width="10.125" customWidth="1"/>
    <col min="10" max="10" width="12.5" customWidth="1"/>
    <col min="11" max="11" width="14.875" customWidth="1"/>
    <col min="12" max="14" width="21.375" customWidth="1"/>
    <col min="18" max="18" width="9.875" bestFit="1" customWidth="1"/>
  </cols>
  <sheetData>
    <row r="1" spans="1:20" ht="33" customHeight="1" thickBot="1" x14ac:dyDescent="0.35">
      <c r="A1" s="59" t="s">
        <v>45</v>
      </c>
      <c r="B1" s="60" t="s">
        <v>46</v>
      </c>
      <c r="C1" s="43" t="s">
        <v>47</v>
      </c>
      <c r="D1" s="61" t="s">
        <v>48</v>
      </c>
      <c r="E1" s="61" t="s">
        <v>22</v>
      </c>
      <c r="F1" s="101" t="s">
        <v>23</v>
      </c>
      <c r="J1" s="200" t="s">
        <v>79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34"/>
      <c r="F2" s="134"/>
      <c r="J2" s="198"/>
      <c r="K2" s="2"/>
      <c r="L2" s="196" t="s">
        <v>67</v>
      </c>
      <c r="M2" s="196"/>
      <c r="N2" s="196"/>
    </row>
    <row r="3" spans="1:20" ht="17.25" thickBot="1" x14ac:dyDescent="0.35">
      <c r="A3" s="204"/>
      <c r="C3" s="40"/>
      <c r="D3" s="134"/>
      <c r="E3" s="141"/>
      <c r="F3" s="134"/>
      <c r="J3" s="199"/>
      <c r="K3" s="3"/>
      <c r="L3" s="41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3"/>
      <c r="C4" s="40"/>
      <c r="D4" s="134"/>
      <c r="E4" s="141"/>
      <c r="F4" s="134"/>
      <c r="J4" s="87" t="s">
        <v>54</v>
      </c>
      <c r="K4" s="96" t="s">
        <v>20</v>
      </c>
      <c r="L4" s="136" cm="1">
        <f t="array" ref="L4">SUM(IF(B:B="a",D:D))</f>
        <v>0</v>
      </c>
      <c r="M4" s="137" cm="1">
        <f t="array" ref="M4">SUM(IF(B:B="a",E:E))</f>
        <v>0</v>
      </c>
      <c r="N4" s="137" cm="1">
        <f t="array" ref="N4">SUM(IF(B:B="a",F:F))</f>
        <v>0</v>
      </c>
    </row>
    <row r="5" spans="1:20" ht="17.25" thickBot="1" x14ac:dyDescent="0.35">
      <c r="A5" s="204"/>
      <c r="C5" s="40"/>
      <c r="D5" s="141"/>
      <c r="E5" s="141"/>
      <c r="F5" s="134"/>
      <c r="J5" s="87" t="s">
        <v>49</v>
      </c>
      <c r="K5" s="2" t="s">
        <v>24</v>
      </c>
      <c r="L5" s="138" cm="1">
        <f t="array" ref="L5">SUM(IF(B:B="b",D:D))</f>
        <v>0</v>
      </c>
      <c r="M5" s="57" cm="1">
        <f t="array" ref="M5">SUM(IF(B:B="b",E:E))</f>
        <v>0</v>
      </c>
      <c r="N5" s="57" cm="1">
        <f t="array" ref="N5">SUM(IF(B:B="b",F:F))</f>
        <v>0</v>
      </c>
    </row>
    <row r="6" spans="1:20" ht="17.25" thickBot="1" x14ac:dyDescent="0.35">
      <c r="A6" s="203"/>
      <c r="C6" s="40"/>
      <c r="D6" s="134"/>
      <c r="E6" s="134"/>
      <c r="F6" s="134"/>
      <c r="J6" s="87" t="s">
        <v>51</v>
      </c>
      <c r="K6" s="2" t="s">
        <v>56</v>
      </c>
      <c r="L6" s="138" cm="1">
        <f t="array" ref="L6">SUM(IF(B:B="c",D:D))</f>
        <v>0</v>
      </c>
      <c r="M6" s="57" cm="1">
        <f t="array" ref="M6">SUM(IF(B:B="c",E:E))</f>
        <v>0</v>
      </c>
      <c r="N6" s="57" cm="1">
        <f t="array" ref="N6">SUM(IF(B:B="c",F:F))</f>
        <v>0</v>
      </c>
    </row>
    <row r="7" spans="1:20" ht="17.25" thickBot="1" x14ac:dyDescent="0.35">
      <c r="A7" s="205"/>
      <c r="C7" s="40"/>
      <c r="D7" s="134"/>
      <c r="E7" s="134"/>
      <c r="F7" s="134"/>
      <c r="J7" s="87" t="s">
        <v>57</v>
      </c>
      <c r="K7" s="2" t="s">
        <v>58</v>
      </c>
      <c r="L7" s="138" cm="1">
        <f t="array" ref="L7">SUM(IF(B:B="d",D:D))</f>
        <v>0</v>
      </c>
      <c r="M7" s="57" cm="1">
        <f t="array" ref="M7">SUM(IF(B:B="d",E:E))</f>
        <v>0</v>
      </c>
      <c r="N7" s="57" cm="1">
        <f t="array" ref="N7">SUM(IF(B:B="d",F:F))</f>
        <v>0</v>
      </c>
    </row>
    <row r="8" spans="1:20" ht="17.25" thickBot="1" x14ac:dyDescent="0.35">
      <c r="A8" s="204"/>
      <c r="C8" s="40"/>
      <c r="D8" s="134"/>
      <c r="E8" s="141"/>
      <c r="F8" s="134"/>
      <c r="J8" s="87" t="s">
        <v>55</v>
      </c>
      <c r="K8" s="2" t="s">
        <v>59</v>
      </c>
      <c r="L8" s="138" cm="1">
        <f t="array" ref="L8">SUM(IF(B:B="e",D:D))</f>
        <v>0</v>
      </c>
      <c r="M8" s="57" cm="1">
        <f t="array" ref="M8">SUM(IF(B:B="e",E:E))</f>
        <v>0</v>
      </c>
      <c r="N8" s="57" cm="1">
        <f t="array" ref="N8">SUM(IF(B:B="e",F:F))</f>
        <v>0</v>
      </c>
    </row>
    <row r="9" spans="1:20" ht="17.25" thickBot="1" x14ac:dyDescent="0.35">
      <c r="A9" s="203"/>
      <c r="C9" s="40"/>
      <c r="D9" s="134"/>
      <c r="E9" s="141"/>
      <c r="F9" s="134"/>
      <c r="J9" s="87" t="s">
        <v>60</v>
      </c>
      <c r="K9" s="2" t="s">
        <v>61</v>
      </c>
      <c r="L9" s="138" cm="1">
        <f t="array" ref="L9">SUM(IF(B:B="f",D:D))</f>
        <v>0</v>
      </c>
      <c r="M9" s="57" cm="1">
        <f t="array" ref="M9">SUM(IF(B:B="f",E:E))</f>
        <v>0</v>
      </c>
      <c r="N9" s="57" cm="1">
        <f t="array" ref="N9">SUM(IF(B:B="f",F:F))</f>
        <v>0</v>
      </c>
    </row>
    <row r="10" spans="1:20" ht="17.25" thickBot="1" x14ac:dyDescent="0.35">
      <c r="A10" s="204"/>
      <c r="C10" s="40"/>
      <c r="D10" s="134"/>
      <c r="E10" s="134"/>
      <c r="F10" s="134"/>
      <c r="J10" s="87" t="s">
        <v>62</v>
      </c>
      <c r="K10" s="2" t="s">
        <v>31</v>
      </c>
      <c r="L10" s="138" cm="1">
        <f t="array" ref="L10">SUM(IF(B:B="g",D:D))</f>
        <v>0</v>
      </c>
      <c r="M10" s="57" cm="1">
        <f t="array" ref="M10">SUM(IF(B:B="g",E:E))</f>
        <v>0</v>
      </c>
      <c r="N10" s="57" cm="1">
        <f t="array" ref="N10">SUM(IF(B:B="g",F:F))</f>
        <v>0</v>
      </c>
    </row>
    <row r="11" spans="1:20" ht="17.25" thickBot="1" x14ac:dyDescent="0.35">
      <c r="C11" s="40"/>
      <c r="D11" s="134"/>
      <c r="E11" s="134"/>
      <c r="F11" s="134"/>
      <c r="J11" s="87" t="s">
        <v>63</v>
      </c>
      <c r="K11" s="2" t="s">
        <v>32</v>
      </c>
      <c r="L11" s="138" cm="1">
        <f t="array" ref="L11">SUM(IF(B:B="h",D:D))</f>
        <v>0</v>
      </c>
      <c r="M11" s="57" cm="1">
        <f t="array" ref="M11">SUM(IF(B:B="h",E:E))</f>
        <v>0</v>
      </c>
      <c r="N11" s="57" cm="1">
        <f t="array" ref="N11">SUM(IF(B:B="h",F:F))</f>
        <v>0</v>
      </c>
    </row>
    <row r="12" spans="1:20" ht="17.25" thickBot="1" x14ac:dyDescent="0.35">
      <c r="C12" s="40"/>
      <c r="D12" s="141"/>
      <c r="E12" s="141"/>
      <c r="F12" s="141"/>
      <c r="J12" s="87"/>
      <c r="K12" s="2"/>
      <c r="L12" s="138"/>
      <c r="M12" s="57"/>
      <c r="N12" s="57"/>
    </row>
    <row r="13" spans="1:20" ht="17.25" thickBot="1" x14ac:dyDescent="0.35">
      <c r="C13" s="40"/>
      <c r="D13" s="141"/>
      <c r="E13" s="141"/>
      <c r="F13" s="141"/>
      <c r="J13" s="87"/>
      <c r="K13" s="94"/>
      <c r="L13" s="139"/>
      <c r="M13" s="125"/>
      <c r="N13" s="125"/>
    </row>
    <row r="14" spans="1:20" ht="17.25" thickBot="1" x14ac:dyDescent="0.35">
      <c r="A14" s="203"/>
      <c r="C14" s="40"/>
      <c r="D14" s="141"/>
      <c r="E14" s="141"/>
      <c r="F14" s="141"/>
      <c r="J14" s="88"/>
      <c r="K14" s="2" t="s">
        <v>4</v>
      </c>
      <c r="L14" s="140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A15" s="204"/>
      <c r="C15" s="40"/>
      <c r="D15" s="134"/>
      <c r="E15" s="134"/>
      <c r="F15" s="134"/>
      <c r="L15" s="97"/>
      <c r="M15" s="98"/>
      <c r="N15" s="85"/>
    </row>
    <row r="16" spans="1:20" x14ac:dyDescent="0.3">
      <c r="C16" s="40"/>
      <c r="D16" s="134"/>
      <c r="E16" s="134"/>
      <c r="F16" s="134"/>
    </row>
    <row r="17" spans="1:6" x14ac:dyDescent="0.3">
      <c r="C17" s="40"/>
      <c r="D17" s="141"/>
      <c r="E17" s="141"/>
      <c r="F17" s="141"/>
    </row>
    <row r="18" spans="1:6" x14ac:dyDescent="0.3">
      <c r="C18" s="40"/>
      <c r="D18" s="134"/>
      <c r="E18" s="134"/>
      <c r="F18" s="134"/>
    </row>
    <row r="19" spans="1:6" x14ac:dyDescent="0.3">
      <c r="C19" s="40"/>
      <c r="D19" s="134"/>
      <c r="E19" s="134"/>
      <c r="F19" s="134"/>
    </row>
    <row r="20" spans="1:6" x14ac:dyDescent="0.3">
      <c r="C20" s="40"/>
      <c r="D20" s="134"/>
      <c r="E20" s="142"/>
      <c r="F20" s="142"/>
    </row>
    <row r="21" spans="1:6" x14ac:dyDescent="0.3">
      <c r="A21" s="203"/>
      <c r="C21" s="44"/>
      <c r="D21" s="134"/>
      <c r="E21" s="134"/>
      <c r="F21" s="134"/>
    </row>
    <row r="22" spans="1:6" x14ac:dyDescent="0.3">
      <c r="A22" s="205"/>
      <c r="C22" s="44"/>
      <c r="D22" s="134"/>
      <c r="E22" s="134"/>
      <c r="F22" s="134"/>
    </row>
    <row r="23" spans="1:6" x14ac:dyDescent="0.3">
      <c r="A23" s="204"/>
      <c r="C23" s="44"/>
      <c r="D23" s="134"/>
      <c r="E23" s="134"/>
      <c r="F23" s="134"/>
    </row>
    <row r="24" spans="1:6" x14ac:dyDescent="0.3">
      <c r="A24" s="203"/>
      <c r="C24" s="44"/>
      <c r="D24" s="134"/>
      <c r="E24" s="134"/>
      <c r="F24" s="134"/>
    </row>
    <row r="25" spans="1:6" x14ac:dyDescent="0.3">
      <c r="A25" s="204"/>
      <c r="C25" s="40"/>
      <c r="D25" s="134"/>
      <c r="E25" s="134"/>
      <c r="F25" s="141"/>
    </row>
    <row r="26" spans="1:6" x14ac:dyDescent="0.3">
      <c r="C26" s="40"/>
      <c r="D26" s="134"/>
      <c r="E26" s="134"/>
      <c r="F26" s="141"/>
    </row>
    <row r="27" spans="1:6" x14ac:dyDescent="0.3">
      <c r="C27" s="40"/>
      <c r="D27" s="134"/>
      <c r="E27" s="134"/>
      <c r="F27" s="141"/>
    </row>
    <row r="28" spans="1:6" x14ac:dyDescent="0.3">
      <c r="C28" s="40"/>
      <c r="D28" s="134"/>
      <c r="E28" s="134"/>
      <c r="F28" s="141"/>
    </row>
    <row r="29" spans="1:6" x14ac:dyDescent="0.3">
      <c r="A29" s="203"/>
      <c r="C29" s="40"/>
      <c r="D29" s="134"/>
      <c r="E29" s="134"/>
      <c r="F29" s="141"/>
    </row>
    <row r="30" spans="1:6" x14ac:dyDescent="0.3">
      <c r="A30" s="204"/>
      <c r="C30" s="40"/>
      <c r="D30" s="134"/>
      <c r="E30" s="134"/>
      <c r="F30" s="141"/>
    </row>
    <row r="31" spans="1:6" x14ac:dyDescent="0.3">
      <c r="A31" s="203"/>
      <c r="C31" s="40"/>
      <c r="D31" s="134"/>
      <c r="E31" s="134"/>
      <c r="F31" s="141"/>
    </row>
    <row r="32" spans="1:6" x14ac:dyDescent="0.3">
      <c r="A32" s="205"/>
      <c r="C32" s="40"/>
      <c r="D32" s="134"/>
      <c r="E32" s="134"/>
      <c r="F32" s="141"/>
    </row>
    <row r="33" spans="1:6" x14ac:dyDescent="0.3">
      <c r="A33" s="204"/>
      <c r="C33" s="40"/>
      <c r="D33" s="134"/>
      <c r="E33" s="134"/>
      <c r="F33" s="141"/>
    </row>
    <row r="34" spans="1:6" x14ac:dyDescent="0.3">
      <c r="C34" s="40"/>
      <c r="D34" s="134"/>
      <c r="E34" s="134"/>
      <c r="F34" s="141"/>
    </row>
    <row r="35" spans="1:6" x14ac:dyDescent="0.3">
      <c r="C35" s="40"/>
      <c r="D35" s="134"/>
      <c r="E35" s="134"/>
      <c r="F35" s="134"/>
    </row>
    <row r="36" spans="1:6" x14ac:dyDescent="0.3">
      <c r="C36" s="40"/>
      <c r="D36" s="134"/>
      <c r="E36" s="134"/>
      <c r="F36" s="134"/>
    </row>
    <row r="37" spans="1:6" x14ac:dyDescent="0.3">
      <c r="C37" s="40"/>
      <c r="D37" s="134"/>
      <c r="E37" s="134"/>
      <c r="F37" s="134"/>
    </row>
    <row r="38" spans="1:6" x14ac:dyDescent="0.3">
      <c r="C38" s="40"/>
      <c r="D38" s="134"/>
      <c r="E38" s="134"/>
      <c r="F38" s="134"/>
    </row>
    <row r="39" spans="1:6" x14ac:dyDescent="0.3">
      <c r="C39" s="40"/>
      <c r="D39" s="134"/>
      <c r="E39" s="134"/>
      <c r="F39" s="134"/>
    </row>
    <row r="40" spans="1:6" x14ac:dyDescent="0.3">
      <c r="C40" s="40"/>
      <c r="D40" s="134"/>
      <c r="E40" s="134"/>
      <c r="F40" s="141"/>
    </row>
    <row r="41" spans="1:6" x14ac:dyDescent="0.3">
      <c r="C41" s="40"/>
      <c r="D41" s="134"/>
      <c r="E41" s="134"/>
      <c r="F41" s="141"/>
    </row>
    <row r="42" spans="1:6" x14ac:dyDescent="0.3">
      <c r="C42" s="40"/>
      <c r="D42" s="134"/>
      <c r="E42" s="134"/>
      <c r="F42" s="141"/>
    </row>
    <row r="43" spans="1:6" x14ac:dyDescent="0.3">
      <c r="C43" s="40"/>
      <c r="D43" s="134"/>
      <c r="E43" s="134"/>
      <c r="F43" s="141"/>
    </row>
    <row r="44" spans="1:6" x14ac:dyDescent="0.3">
      <c r="C44" s="40"/>
      <c r="D44" s="134"/>
      <c r="E44" s="134"/>
      <c r="F44" s="99"/>
    </row>
    <row r="45" spans="1:6" x14ac:dyDescent="0.3">
      <c r="C45" s="40"/>
      <c r="D45" s="134"/>
      <c r="E45" s="134"/>
      <c r="F45" s="99"/>
    </row>
    <row r="46" spans="1:6" x14ac:dyDescent="0.3">
      <c r="C46" s="40"/>
      <c r="D46" s="134"/>
      <c r="E46" s="134"/>
      <c r="F46" s="99"/>
    </row>
    <row r="47" spans="1:6" x14ac:dyDescent="0.3">
      <c r="C47" s="40"/>
      <c r="D47" s="134"/>
      <c r="E47" s="134"/>
      <c r="F47" s="99"/>
    </row>
    <row r="48" spans="1:6" x14ac:dyDescent="0.3">
      <c r="C48" s="40"/>
      <c r="D48" s="134"/>
      <c r="E48" s="134"/>
      <c r="F48" s="99"/>
    </row>
    <row r="49" spans="3:6" x14ac:dyDescent="0.3">
      <c r="C49" s="40"/>
      <c r="D49" s="134"/>
      <c r="E49" s="134"/>
      <c r="F49" s="99"/>
    </row>
    <row r="50" spans="3:6" x14ac:dyDescent="0.3">
      <c r="C50" s="40"/>
      <c r="D50" s="134"/>
      <c r="E50" s="134"/>
      <c r="F50" s="99"/>
    </row>
    <row r="51" spans="3:6" x14ac:dyDescent="0.3">
      <c r="C51" s="40"/>
      <c r="D51" s="134"/>
      <c r="E51" s="134"/>
      <c r="F51" s="99"/>
    </row>
    <row r="52" spans="3:6" x14ac:dyDescent="0.3">
      <c r="C52" s="40"/>
      <c r="D52" s="134"/>
      <c r="E52" s="134"/>
      <c r="F52" s="100"/>
    </row>
  </sheetData>
  <mergeCells count="4">
    <mergeCell ref="L2:N2"/>
    <mergeCell ref="R3:T3"/>
    <mergeCell ref="J2:J3"/>
    <mergeCell ref="J1:N1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179E-E3DA-4A6E-AED1-F80AB78546C8}">
  <sheetPr>
    <pageSetUpPr fitToPage="1"/>
  </sheetPr>
  <dimension ref="A1:T49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J1" sqref="J1:N1"/>
    </sheetView>
  </sheetViews>
  <sheetFormatPr defaultRowHeight="16.5" x14ac:dyDescent="0.3"/>
  <cols>
    <col min="1" max="1" width="17.75" style="58" customWidth="1"/>
    <col min="2" max="2" width="6.25" style="62" customWidth="1"/>
    <col min="3" max="3" width="44.125" style="42" customWidth="1"/>
    <col min="4" max="4" width="9" style="57"/>
    <col min="5" max="5" width="14.375" style="57" customWidth="1"/>
    <col min="6" max="6" width="15.75" style="102" customWidth="1"/>
    <col min="7" max="7" width="8" style="85" customWidth="1"/>
    <col min="8" max="9" width="8" customWidth="1"/>
    <col min="10" max="10" width="12.5" customWidth="1"/>
    <col min="11" max="11" width="14.875" customWidth="1"/>
    <col min="12" max="14" width="20.375" customWidth="1"/>
    <col min="18" max="18" width="9.875" bestFit="1" customWidth="1"/>
  </cols>
  <sheetData>
    <row r="1" spans="1:20" ht="45.75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80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34"/>
      <c r="F2" s="134"/>
      <c r="J2" s="198"/>
      <c r="K2" s="2"/>
      <c r="L2" s="196" t="s">
        <v>68</v>
      </c>
      <c r="M2" s="196"/>
      <c r="N2" s="196"/>
    </row>
    <row r="3" spans="1:20" ht="17.25" thickBot="1" x14ac:dyDescent="0.35">
      <c r="A3" s="205"/>
      <c r="C3" s="40"/>
      <c r="D3" s="141"/>
      <c r="E3" s="141"/>
      <c r="F3" s="134"/>
      <c r="J3" s="199"/>
      <c r="K3" s="3"/>
      <c r="L3" s="41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5"/>
      <c r="C4" s="40"/>
      <c r="D4" s="134"/>
      <c r="E4" s="134"/>
      <c r="F4" s="134"/>
      <c r="J4" s="87" t="s">
        <v>54</v>
      </c>
      <c r="K4" s="96" t="s">
        <v>20</v>
      </c>
      <c r="L4" s="136" cm="1">
        <f t="array" ref="L4">SUM(IF(B:B="a",D:D))</f>
        <v>0</v>
      </c>
      <c r="M4" s="137" cm="1">
        <f t="array" ref="M4">SUM(IF(B:B="a",E:E))</f>
        <v>0</v>
      </c>
      <c r="N4" s="137" cm="1">
        <f t="array" ref="N4">SUM(IF(B:B="a",F:F))</f>
        <v>0</v>
      </c>
    </row>
    <row r="5" spans="1:20" ht="17.25" thickBot="1" x14ac:dyDescent="0.35">
      <c r="A5" s="205"/>
      <c r="C5" s="40"/>
      <c r="D5" s="134"/>
      <c r="E5" s="141"/>
      <c r="F5" s="134"/>
      <c r="J5" s="87" t="s">
        <v>49</v>
      </c>
      <c r="K5" s="2" t="s">
        <v>24</v>
      </c>
      <c r="L5" s="138" cm="1">
        <f t="array" ref="L5">SUM(IF(B:B="b",D:D))</f>
        <v>0</v>
      </c>
      <c r="M5" s="57" cm="1">
        <f t="array" ref="M5">SUM(IF(B:B="b",E:E))</f>
        <v>0</v>
      </c>
      <c r="N5" s="57" cm="1">
        <f t="array" ref="N5">SUM(IF(B:B="b",F:F))</f>
        <v>0</v>
      </c>
    </row>
    <row r="6" spans="1:20" ht="17.25" thickBot="1" x14ac:dyDescent="0.35">
      <c r="A6" s="205"/>
      <c r="C6" s="40"/>
      <c r="D6" s="134"/>
      <c r="E6" s="134"/>
      <c r="F6" s="134"/>
      <c r="J6" s="87" t="s">
        <v>51</v>
      </c>
      <c r="K6" s="2" t="s">
        <v>56</v>
      </c>
      <c r="L6" s="138" cm="1">
        <f t="array" ref="L6">SUM(IF(B:B="c",D:D))</f>
        <v>0</v>
      </c>
      <c r="M6" s="57" cm="1">
        <f t="array" ref="M6">SUM(IF(B:B="c",E:E))</f>
        <v>0</v>
      </c>
      <c r="N6" s="57" cm="1">
        <f t="array" ref="N6">SUM(IF(B:B="c",F:F))</f>
        <v>0</v>
      </c>
    </row>
    <row r="7" spans="1:20" ht="17.25" thickBot="1" x14ac:dyDescent="0.35">
      <c r="A7" s="205"/>
      <c r="C7" s="40"/>
      <c r="D7" s="141"/>
      <c r="E7" s="141"/>
      <c r="F7" s="134"/>
      <c r="J7" s="87" t="s">
        <v>57</v>
      </c>
      <c r="K7" s="2" t="s">
        <v>58</v>
      </c>
      <c r="L7" s="138" cm="1">
        <f t="array" ref="L7">SUM(IF(B:B="d",D:D))</f>
        <v>0</v>
      </c>
      <c r="M7" s="57" cm="1">
        <f t="array" ref="M7">SUM(IF(B:B="d",E:E))</f>
        <v>0</v>
      </c>
      <c r="N7" s="57" cm="1">
        <f t="array" ref="N7">SUM(IF(B:B="d",F:F))</f>
        <v>0</v>
      </c>
    </row>
    <row r="8" spans="1:20" ht="17.25" thickBot="1" x14ac:dyDescent="0.35">
      <c r="A8" s="205"/>
      <c r="C8" s="40"/>
      <c r="D8" s="134"/>
      <c r="E8" s="134"/>
      <c r="F8" s="134"/>
      <c r="J8" s="87" t="s">
        <v>55</v>
      </c>
      <c r="K8" s="2" t="s">
        <v>59</v>
      </c>
      <c r="L8" s="138" cm="1">
        <f t="array" ref="L8">SUM(IF(B:B="e",D:D))</f>
        <v>0</v>
      </c>
      <c r="M8" s="57" cm="1">
        <f t="array" ref="M8">SUM(IF(B:B="e",E:E))</f>
        <v>0</v>
      </c>
      <c r="N8" s="57" cm="1">
        <f t="array" ref="N8">SUM(IF(B:B="e",F:F))</f>
        <v>0</v>
      </c>
    </row>
    <row r="9" spans="1:20" ht="17.25" thickBot="1" x14ac:dyDescent="0.35">
      <c r="A9" s="204"/>
      <c r="C9" s="40"/>
      <c r="D9" s="134"/>
      <c r="E9" s="134"/>
      <c r="F9" s="134"/>
      <c r="J9" s="87" t="s">
        <v>60</v>
      </c>
      <c r="K9" s="2" t="s">
        <v>61</v>
      </c>
      <c r="L9" s="138" cm="1">
        <f t="array" ref="L9">SUM(IF(B:B="f",D:D))</f>
        <v>0</v>
      </c>
      <c r="M9" s="57" cm="1">
        <f t="array" ref="M9">SUM(IF(B:B="f",E:E))</f>
        <v>0</v>
      </c>
      <c r="N9" s="57" cm="1">
        <f t="array" ref="N9">SUM(IF(B:B="f",F:F))</f>
        <v>0</v>
      </c>
    </row>
    <row r="10" spans="1:20" ht="17.25" thickBot="1" x14ac:dyDescent="0.35">
      <c r="A10" s="203"/>
      <c r="C10" s="40"/>
      <c r="D10" s="134"/>
      <c r="E10" s="134"/>
      <c r="F10" s="134"/>
      <c r="J10" s="87" t="s">
        <v>62</v>
      </c>
      <c r="K10" s="2" t="s">
        <v>31</v>
      </c>
      <c r="L10" s="138" cm="1">
        <f t="array" ref="L10">SUM(IF(B:B="g",D:D))</f>
        <v>0</v>
      </c>
      <c r="M10" s="57" cm="1">
        <f t="array" ref="M10">SUM(IF(B:B="g",E:E))</f>
        <v>0</v>
      </c>
      <c r="N10" s="57" cm="1">
        <f t="array" ref="N10">SUM(IF(B:B="g",F:F))</f>
        <v>0</v>
      </c>
    </row>
    <row r="11" spans="1:20" ht="17.25" thickBot="1" x14ac:dyDescent="0.35">
      <c r="A11" s="204"/>
      <c r="C11" s="40"/>
      <c r="D11" s="141"/>
      <c r="E11" s="141"/>
      <c r="F11" s="141"/>
      <c r="J11" s="87" t="s">
        <v>63</v>
      </c>
      <c r="K11" s="2" t="s">
        <v>32</v>
      </c>
      <c r="L11" s="138" cm="1">
        <f t="array" ref="L11">SUM(IF(B:B="h",D:D))</f>
        <v>0</v>
      </c>
      <c r="M11" s="57" cm="1">
        <f t="array" ref="M11">SUM(IF(B:B="h",E:E))</f>
        <v>0</v>
      </c>
      <c r="N11" s="57" cm="1">
        <f t="array" ref="N11">SUM(IF(B:B="h",F:F))</f>
        <v>0</v>
      </c>
    </row>
    <row r="12" spans="1:20" ht="17.25" thickBot="1" x14ac:dyDescent="0.35">
      <c r="A12" s="203"/>
      <c r="C12" s="40"/>
      <c r="D12" s="141"/>
      <c r="E12" s="141"/>
      <c r="F12" s="141"/>
      <c r="J12" s="87"/>
      <c r="K12" s="2"/>
      <c r="L12" s="138"/>
      <c r="M12" s="57"/>
      <c r="N12" s="57"/>
    </row>
    <row r="13" spans="1:20" ht="17.25" thickBot="1" x14ac:dyDescent="0.35">
      <c r="A13" s="205"/>
      <c r="C13" s="40"/>
      <c r="D13" s="141"/>
      <c r="E13" s="141"/>
      <c r="F13" s="141"/>
      <c r="J13" s="87"/>
      <c r="K13" s="94"/>
      <c r="L13" s="139"/>
      <c r="M13" s="125"/>
      <c r="N13" s="125"/>
    </row>
    <row r="14" spans="1:20" ht="17.25" thickBot="1" x14ac:dyDescent="0.35">
      <c r="A14" s="205"/>
      <c r="C14" s="40"/>
      <c r="D14" s="134"/>
      <c r="E14" s="134"/>
      <c r="F14" s="134"/>
      <c r="J14" s="88"/>
      <c r="K14" s="2" t="s">
        <v>4</v>
      </c>
      <c r="L14" s="140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A15" s="205"/>
      <c r="C15" s="40"/>
      <c r="D15" s="134"/>
      <c r="E15" s="134"/>
      <c r="F15" s="134"/>
      <c r="L15" s="95"/>
      <c r="M15" s="95"/>
      <c r="N15" s="95"/>
    </row>
    <row r="16" spans="1:20" x14ac:dyDescent="0.3">
      <c r="A16" s="204"/>
      <c r="C16" s="40"/>
      <c r="D16" s="134"/>
      <c r="E16" s="134"/>
      <c r="F16" s="134"/>
    </row>
    <row r="17" spans="1:6" x14ac:dyDescent="0.3">
      <c r="C17" s="40"/>
      <c r="D17" s="134"/>
      <c r="E17" s="134"/>
      <c r="F17" s="134"/>
    </row>
    <row r="18" spans="1:6" x14ac:dyDescent="0.3">
      <c r="A18" s="203"/>
      <c r="C18" s="40"/>
      <c r="D18" s="134"/>
      <c r="E18" s="134"/>
      <c r="F18" s="134"/>
    </row>
    <row r="19" spans="1:6" x14ac:dyDescent="0.3">
      <c r="A19" s="204"/>
      <c r="C19" s="40"/>
      <c r="D19" s="134"/>
      <c r="E19" s="134"/>
      <c r="F19" s="134"/>
    </row>
    <row r="20" spans="1:6" x14ac:dyDescent="0.3">
      <c r="C20" s="40"/>
      <c r="D20" s="134"/>
      <c r="E20" s="134"/>
      <c r="F20" s="141"/>
    </row>
    <row r="21" spans="1:6" x14ac:dyDescent="0.3">
      <c r="A21" s="203"/>
      <c r="C21" s="40"/>
      <c r="D21" s="134"/>
      <c r="E21" s="134"/>
      <c r="F21" s="141"/>
    </row>
    <row r="22" spans="1:6" x14ac:dyDescent="0.3">
      <c r="A22" s="205"/>
      <c r="C22" s="40"/>
      <c r="D22" s="134"/>
      <c r="E22" s="134"/>
      <c r="F22" s="141"/>
    </row>
    <row r="23" spans="1:6" x14ac:dyDescent="0.3">
      <c r="A23" s="204"/>
      <c r="C23" s="40"/>
      <c r="D23" s="142"/>
      <c r="E23" s="142"/>
      <c r="F23" s="141"/>
    </row>
    <row r="24" spans="1:6" x14ac:dyDescent="0.3">
      <c r="C24" s="40"/>
      <c r="D24" s="134"/>
      <c r="E24" s="134"/>
      <c r="F24" s="141"/>
    </row>
    <row r="25" spans="1:6" x14ac:dyDescent="0.3">
      <c r="C25" s="40"/>
      <c r="D25" s="134"/>
      <c r="E25" s="134"/>
      <c r="F25" s="141"/>
    </row>
    <row r="26" spans="1:6" x14ac:dyDescent="0.3">
      <c r="C26" s="40"/>
      <c r="D26" s="134"/>
      <c r="E26" s="134"/>
      <c r="F26" s="134"/>
    </row>
    <row r="27" spans="1:6" x14ac:dyDescent="0.3">
      <c r="A27" s="203"/>
      <c r="C27" s="40"/>
      <c r="D27" s="134"/>
      <c r="E27" s="134"/>
      <c r="F27" s="134"/>
    </row>
    <row r="28" spans="1:6" x14ac:dyDescent="0.3">
      <c r="A28" s="204"/>
      <c r="C28" s="40"/>
      <c r="D28" s="134"/>
      <c r="E28" s="134"/>
      <c r="F28" s="134"/>
    </row>
    <row r="29" spans="1:6" x14ac:dyDescent="0.3">
      <c r="A29" s="203"/>
      <c r="C29" s="40"/>
      <c r="D29" s="134"/>
      <c r="E29" s="134"/>
      <c r="F29" s="141"/>
    </row>
    <row r="30" spans="1:6" x14ac:dyDescent="0.3">
      <c r="A30" s="205"/>
      <c r="C30" s="40"/>
      <c r="D30" s="134"/>
      <c r="E30" s="134"/>
      <c r="F30" s="141"/>
    </row>
    <row r="31" spans="1:6" x14ac:dyDescent="0.3">
      <c r="A31" s="205"/>
      <c r="C31" s="40"/>
      <c r="D31" s="134"/>
      <c r="E31" s="134"/>
      <c r="F31" s="141"/>
    </row>
    <row r="32" spans="1:6" x14ac:dyDescent="0.3">
      <c r="A32" s="205"/>
      <c r="C32" s="40"/>
      <c r="D32" s="134"/>
      <c r="E32" s="134"/>
      <c r="F32" s="141"/>
    </row>
    <row r="33" spans="1:6" x14ac:dyDescent="0.3">
      <c r="A33" s="204"/>
      <c r="C33" s="40"/>
      <c r="D33" s="134"/>
      <c r="E33" s="134"/>
      <c r="F33" s="141"/>
    </row>
    <row r="34" spans="1:6" x14ac:dyDescent="0.3">
      <c r="A34" s="203"/>
      <c r="C34" s="40"/>
      <c r="D34" s="134"/>
      <c r="E34" s="134"/>
      <c r="F34" s="141"/>
    </row>
    <row r="35" spans="1:6" x14ac:dyDescent="0.3">
      <c r="A35" s="204"/>
      <c r="C35" s="40"/>
      <c r="D35" s="134"/>
      <c r="E35" s="134"/>
      <c r="F35" s="141"/>
    </row>
    <row r="36" spans="1:6" x14ac:dyDescent="0.3">
      <c r="C36" s="40"/>
      <c r="D36" s="134"/>
      <c r="E36" s="134"/>
      <c r="F36" s="141"/>
    </row>
    <row r="37" spans="1:6" x14ac:dyDescent="0.3">
      <c r="C37" s="40"/>
      <c r="D37" s="134"/>
      <c r="E37" s="134"/>
      <c r="F37" s="134"/>
    </row>
    <row r="38" spans="1:6" x14ac:dyDescent="0.3">
      <c r="C38" s="40"/>
      <c r="D38" s="134"/>
      <c r="E38" s="134"/>
      <c r="F38" s="141"/>
    </row>
    <row r="39" spans="1:6" x14ac:dyDescent="0.3">
      <c r="C39" s="40"/>
      <c r="D39" s="134"/>
      <c r="E39" s="134"/>
      <c r="F39" s="141"/>
    </row>
    <row r="40" spans="1:6" x14ac:dyDescent="0.3">
      <c r="C40" s="40"/>
      <c r="D40" s="134"/>
      <c r="E40" s="134"/>
      <c r="F40" s="141"/>
    </row>
    <row r="41" spans="1:6" x14ac:dyDescent="0.3">
      <c r="C41" s="40"/>
      <c r="D41" s="134"/>
      <c r="E41" s="134"/>
      <c r="F41" s="141"/>
    </row>
    <row r="42" spans="1:6" x14ac:dyDescent="0.3">
      <c r="C42" s="40"/>
      <c r="D42" s="134"/>
      <c r="E42" s="134"/>
      <c r="F42" s="141"/>
    </row>
    <row r="43" spans="1:6" x14ac:dyDescent="0.3">
      <c r="C43" s="40"/>
      <c r="D43" s="134"/>
      <c r="E43" s="134"/>
      <c r="F43" s="141"/>
    </row>
    <row r="44" spans="1:6" x14ac:dyDescent="0.3">
      <c r="F44" s="57"/>
    </row>
    <row r="45" spans="1:6" x14ac:dyDescent="0.3">
      <c r="F45" s="57"/>
    </row>
    <row r="46" spans="1:6" x14ac:dyDescent="0.3">
      <c r="F46" s="57"/>
    </row>
    <row r="47" spans="1:6" x14ac:dyDescent="0.3">
      <c r="F47" s="57"/>
    </row>
    <row r="48" spans="1:6" x14ac:dyDescent="0.3">
      <c r="F48" s="57"/>
    </row>
    <row r="49" spans="6:6" x14ac:dyDescent="0.3">
      <c r="F49" s="57"/>
    </row>
  </sheetData>
  <mergeCells count="4">
    <mergeCell ref="J1:N1"/>
    <mergeCell ref="L2:N2"/>
    <mergeCell ref="R3:T3"/>
    <mergeCell ref="J2:J3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3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57F6-1FFD-4777-841C-12793C6A878B}">
  <sheetPr>
    <pageSetUpPr fitToPage="1"/>
  </sheetPr>
  <dimension ref="A1:T40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E10" sqref="E10"/>
    </sheetView>
  </sheetViews>
  <sheetFormatPr defaultRowHeight="16.5" x14ac:dyDescent="0.3"/>
  <cols>
    <col min="1" max="1" width="16.375" style="58" customWidth="1"/>
    <col min="2" max="2" width="6.25" style="62" customWidth="1"/>
    <col min="3" max="3" width="36.25" style="42" customWidth="1"/>
    <col min="4" max="4" width="11.875" style="57" customWidth="1"/>
    <col min="5" max="5" width="14" style="57" customWidth="1"/>
    <col min="6" max="6" width="15.875" style="102" customWidth="1"/>
    <col min="7" max="7" width="8.5" style="85" customWidth="1"/>
    <col min="8" max="9" width="8.5" customWidth="1"/>
    <col min="10" max="10" width="12.5" customWidth="1"/>
    <col min="11" max="11" width="14.875" customWidth="1"/>
    <col min="12" max="14" width="19" customWidth="1"/>
    <col min="18" max="18" width="9.875" bestFit="1" customWidth="1"/>
  </cols>
  <sheetData>
    <row r="1" spans="1:20" ht="38.25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81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41"/>
      <c r="F2" s="134"/>
      <c r="J2" s="198"/>
      <c r="K2" s="2"/>
      <c r="L2" s="196" t="s">
        <v>69</v>
      </c>
      <c r="M2" s="196"/>
      <c r="N2" s="196"/>
    </row>
    <row r="3" spans="1:20" ht="17.25" thickBot="1" x14ac:dyDescent="0.35">
      <c r="A3" s="204"/>
      <c r="C3" s="40"/>
      <c r="D3" s="134"/>
      <c r="E3" s="141"/>
      <c r="F3" s="134"/>
      <c r="J3" s="199"/>
      <c r="K3" s="3"/>
      <c r="L3" s="41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3"/>
      <c r="C4" s="40"/>
      <c r="D4" s="134"/>
      <c r="E4" s="134"/>
      <c r="F4" s="134"/>
      <c r="J4" s="87" t="s">
        <v>54</v>
      </c>
      <c r="K4" s="96" t="s">
        <v>20</v>
      </c>
      <c r="L4" s="144" cm="1">
        <f t="array" ref="L4">SUM(IF(B:B="a",D:D))</f>
        <v>0</v>
      </c>
      <c r="M4" s="145" cm="1">
        <f t="array" ref="M4">SUM(IF(B:B="a",E:E))</f>
        <v>0</v>
      </c>
      <c r="N4" s="145" cm="1">
        <f t="array" ref="N4">SUM(IF(B:B="a",F:F))</f>
        <v>0</v>
      </c>
    </row>
    <row r="5" spans="1:20" ht="17.25" thickBot="1" x14ac:dyDescent="0.35">
      <c r="A5" s="204"/>
      <c r="C5" s="40"/>
      <c r="D5" s="134"/>
      <c r="E5" s="141"/>
      <c r="F5" s="134"/>
      <c r="J5" s="87" t="s">
        <v>49</v>
      </c>
      <c r="K5" s="2" t="s">
        <v>24</v>
      </c>
      <c r="L5" s="146" cm="1">
        <f t="array" ref="L5">SUM(IF(B:B="b",D:D))</f>
        <v>0</v>
      </c>
      <c r="M5" s="147" cm="1">
        <f t="array" ref="M5">SUM(IF(B:B="b",E:E))</f>
        <v>0</v>
      </c>
      <c r="N5" s="147" cm="1">
        <f t="array" ref="N5">SUM(IF(B:B="b",F:F))</f>
        <v>0</v>
      </c>
    </row>
    <row r="6" spans="1:20" ht="17.25" thickBot="1" x14ac:dyDescent="0.35">
      <c r="A6" s="203"/>
      <c r="C6" s="40"/>
      <c r="D6" s="134"/>
      <c r="E6" s="141"/>
      <c r="F6" s="134"/>
      <c r="J6" s="87" t="s">
        <v>51</v>
      </c>
      <c r="K6" s="2" t="s">
        <v>56</v>
      </c>
      <c r="L6" s="146" cm="1">
        <f t="array" ref="L6">SUM(IF(B:B="c",D:D))</f>
        <v>0</v>
      </c>
      <c r="M6" s="147" cm="1">
        <f t="array" ref="M6">SUM(IF(B:B="c",E:E))</f>
        <v>0</v>
      </c>
      <c r="N6" s="147" cm="1">
        <f t="array" ref="N6">SUM(IF(B:B="c",F:F))</f>
        <v>0</v>
      </c>
    </row>
    <row r="7" spans="1:20" ht="17.25" thickBot="1" x14ac:dyDescent="0.35">
      <c r="A7" s="204"/>
      <c r="C7" s="40"/>
      <c r="D7" s="141"/>
      <c r="E7" s="141"/>
      <c r="F7" s="141"/>
      <c r="J7" s="87" t="s">
        <v>57</v>
      </c>
      <c r="K7" s="2" t="s">
        <v>58</v>
      </c>
      <c r="L7" s="146" cm="1">
        <f t="array" ref="L7">SUM(IF(B:B="d",D:D))</f>
        <v>0</v>
      </c>
      <c r="M7" s="147" cm="1">
        <f t="array" ref="M7">SUM(IF(B:B="d",E:E))</f>
        <v>0</v>
      </c>
      <c r="N7" s="147" cm="1">
        <f t="array" ref="N7">SUM(IF(B:B="d",F:F))</f>
        <v>0</v>
      </c>
    </row>
    <row r="8" spans="1:20" ht="17.25" thickBot="1" x14ac:dyDescent="0.35">
      <c r="C8" s="40"/>
      <c r="D8" s="141"/>
      <c r="E8" s="141"/>
      <c r="F8" s="141"/>
      <c r="J8" s="87" t="s">
        <v>55</v>
      </c>
      <c r="K8" s="2" t="s">
        <v>59</v>
      </c>
      <c r="L8" s="146" cm="1">
        <f t="array" ref="L8">SUM(IF(B:B="e",D:D))</f>
        <v>0</v>
      </c>
      <c r="M8" s="147" cm="1">
        <f t="array" ref="M8">SUM(IF(B:B="e",E:E))</f>
        <v>0</v>
      </c>
      <c r="N8" s="147" cm="1">
        <f t="array" ref="N8">SUM(IF(B:B="e",F:F))</f>
        <v>0</v>
      </c>
    </row>
    <row r="9" spans="1:20" ht="17.25" thickBot="1" x14ac:dyDescent="0.35">
      <c r="C9" s="40"/>
      <c r="D9" s="141"/>
      <c r="E9" s="141"/>
      <c r="F9" s="141"/>
      <c r="J9" s="87" t="s">
        <v>60</v>
      </c>
      <c r="K9" s="2" t="s">
        <v>61</v>
      </c>
      <c r="L9" s="146" cm="1">
        <f t="array" ref="L9">SUM(IF(B:B="f",D:D))</f>
        <v>0</v>
      </c>
      <c r="M9" s="147" cm="1">
        <f t="array" ref="M9">SUM(IF(B:B="f",E:E))</f>
        <v>0</v>
      </c>
      <c r="N9" s="147" cm="1">
        <f t="array" ref="N9">SUM(IF(B:B="f",F:F))</f>
        <v>0</v>
      </c>
    </row>
    <row r="10" spans="1:20" ht="17.25" thickBot="1" x14ac:dyDescent="0.35">
      <c r="A10" s="203"/>
      <c r="C10" s="40"/>
      <c r="D10" s="134"/>
      <c r="E10" s="134"/>
      <c r="F10" s="134"/>
      <c r="J10" s="87" t="s">
        <v>62</v>
      </c>
      <c r="K10" s="2" t="s">
        <v>31</v>
      </c>
      <c r="L10" s="146" cm="1">
        <f t="array" ref="L10">SUM(IF(B:B="g",D:D))</f>
        <v>0</v>
      </c>
      <c r="M10" s="147" cm="1">
        <f t="array" ref="M10">SUM(IF(B:B="g",E:E))</f>
        <v>0</v>
      </c>
      <c r="N10" s="147" cm="1">
        <f t="array" ref="N10">SUM(IF(B:B="g",F:F))</f>
        <v>0</v>
      </c>
    </row>
    <row r="11" spans="1:20" ht="17.25" thickBot="1" x14ac:dyDescent="0.35">
      <c r="A11" s="204"/>
      <c r="C11" s="40"/>
      <c r="D11" s="134"/>
      <c r="E11" s="134"/>
      <c r="F11" s="134"/>
      <c r="J11" s="87" t="s">
        <v>63</v>
      </c>
      <c r="K11" s="2" t="s">
        <v>32</v>
      </c>
      <c r="L11" s="146" cm="1">
        <f t="array" ref="L11">SUM(IF(B:B="h",D:D))</f>
        <v>0</v>
      </c>
      <c r="M11" s="147" cm="1">
        <f t="array" ref="M11">SUM(IF(B:B="h",E:E))</f>
        <v>0</v>
      </c>
      <c r="N11" s="147" cm="1">
        <f t="array" ref="N11">SUM(IF(B:B="h",F:F))</f>
        <v>0</v>
      </c>
    </row>
    <row r="12" spans="1:20" ht="17.25" thickBot="1" x14ac:dyDescent="0.35">
      <c r="A12" s="203"/>
      <c r="C12" s="40"/>
      <c r="D12" s="134"/>
      <c r="E12" s="134"/>
      <c r="F12" s="134"/>
      <c r="J12" s="87"/>
      <c r="K12" s="2"/>
      <c r="L12" s="146"/>
      <c r="M12" s="147"/>
      <c r="N12" s="147"/>
    </row>
    <row r="13" spans="1:20" ht="17.25" thickBot="1" x14ac:dyDescent="0.35">
      <c r="A13" s="204"/>
      <c r="C13" s="40"/>
      <c r="D13" s="134"/>
      <c r="E13" s="134"/>
      <c r="F13" s="134"/>
      <c r="J13" s="93"/>
      <c r="K13" s="94"/>
      <c r="L13" s="148"/>
      <c r="M13" s="149"/>
      <c r="N13" s="149"/>
    </row>
    <row r="14" spans="1:20" ht="17.25" thickBot="1" x14ac:dyDescent="0.35">
      <c r="C14" s="40"/>
      <c r="D14" s="134"/>
      <c r="E14" s="134"/>
      <c r="F14" s="134"/>
      <c r="J14" s="87"/>
      <c r="K14" s="2" t="s">
        <v>4</v>
      </c>
      <c r="L14" s="150">
        <f>SUM(L4:L13)</f>
        <v>0</v>
      </c>
      <c r="M14" s="151">
        <f>SUM(M4:M13)</f>
        <v>0</v>
      </c>
      <c r="N14" s="152">
        <f>SUM(N4:N13)</f>
        <v>0</v>
      </c>
    </row>
    <row r="15" spans="1:20" x14ac:dyDescent="0.3">
      <c r="C15" s="40"/>
      <c r="D15" s="134"/>
      <c r="E15" s="134"/>
      <c r="F15" s="134"/>
    </row>
    <row r="16" spans="1:20" x14ac:dyDescent="0.3">
      <c r="C16" s="40"/>
      <c r="D16" s="134"/>
      <c r="E16" s="134"/>
      <c r="F16" s="134"/>
    </row>
    <row r="17" spans="1:6" x14ac:dyDescent="0.3">
      <c r="C17" s="40"/>
      <c r="D17" s="142"/>
      <c r="E17" s="134"/>
      <c r="F17" s="134"/>
    </row>
    <row r="18" spans="1:6" x14ac:dyDescent="0.3">
      <c r="A18" s="203"/>
      <c r="C18" s="40"/>
      <c r="D18" s="134"/>
      <c r="E18" s="134"/>
      <c r="F18" s="141"/>
    </row>
    <row r="19" spans="1:6" x14ac:dyDescent="0.3">
      <c r="A19" s="205"/>
      <c r="C19" s="40"/>
      <c r="D19" s="142"/>
      <c r="E19" s="142"/>
      <c r="F19" s="141"/>
    </row>
    <row r="20" spans="1:6" x14ac:dyDescent="0.3">
      <c r="A20" s="204"/>
      <c r="C20" s="40"/>
      <c r="D20" s="134"/>
      <c r="E20" s="134"/>
      <c r="F20" s="141"/>
    </row>
    <row r="21" spans="1:6" x14ac:dyDescent="0.3">
      <c r="C21" s="40"/>
      <c r="D21" s="134"/>
      <c r="E21" s="134"/>
      <c r="F21" s="141"/>
    </row>
    <row r="22" spans="1:6" x14ac:dyDescent="0.3">
      <c r="C22" s="40"/>
      <c r="D22" s="134"/>
      <c r="E22" s="134"/>
      <c r="F22" s="141"/>
    </row>
    <row r="23" spans="1:6" x14ac:dyDescent="0.3">
      <c r="C23" s="40"/>
      <c r="D23" s="134"/>
      <c r="E23" s="134"/>
      <c r="F23" s="134"/>
    </row>
    <row r="24" spans="1:6" x14ac:dyDescent="0.3">
      <c r="C24" s="40"/>
      <c r="D24" s="134"/>
      <c r="E24" s="134"/>
      <c r="F24" s="141"/>
    </row>
    <row r="25" spans="1:6" x14ac:dyDescent="0.3">
      <c r="C25" s="40"/>
      <c r="D25" s="134"/>
      <c r="E25" s="134"/>
      <c r="F25" s="141"/>
    </row>
    <row r="26" spans="1:6" x14ac:dyDescent="0.3">
      <c r="C26" s="40"/>
      <c r="D26" s="134"/>
      <c r="E26" s="134"/>
      <c r="F26" s="100"/>
    </row>
    <row r="27" spans="1:6" x14ac:dyDescent="0.3">
      <c r="C27" s="40"/>
      <c r="D27" s="134"/>
      <c r="E27" s="134"/>
      <c r="F27" s="99"/>
    </row>
    <row r="28" spans="1:6" x14ac:dyDescent="0.3">
      <c r="C28" s="40"/>
      <c r="D28" s="134"/>
      <c r="E28" s="134"/>
      <c r="F28" s="99"/>
    </row>
    <row r="29" spans="1:6" x14ac:dyDescent="0.3">
      <c r="C29" s="40"/>
      <c r="D29" s="134"/>
      <c r="E29" s="134"/>
      <c r="F29" s="99"/>
    </row>
    <row r="30" spans="1:6" x14ac:dyDescent="0.3">
      <c r="C30" s="40"/>
      <c r="D30" s="134"/>
      <c r="E30" s="134"/>
      <c r="F30" s="99"/>
    </row>
    <row r="31" spans="1:6" x14ac:dyDescent="0.3">
      <c r="C31" s="40"/>
      <c r="D31" s="134"/>
      <c r="E31" s="134"/>
      <c r="F31" s="99"/>
    </row>
    <row r="32" spans="1:6" x14ac:dyDescent="0.3">
      <c r="C32" s="40"/>
      <c r="D32" s="134"/>
      <c r="E32" s="134"/>
      <c r="F32" s="99"/>
    </row>
    <row r="33" spans="3:6" x14ac:dyDescent="0.3">
      <c r="C33" s="40"/>
      <c r="D33" s="134"/>
      <c r="E33" s="134"/>
      <c r="F33" s="99"/>
    </row>
    <row r="34" spans="3:6" x14ac:dyDescent="0.3">
      <c r="C34" s="40"/>
      <c r="D34" s="134"/>
      <c r="E34" s="134"/>
      <c r="F34" s="100"/>
    </row>
    <row r="35" spans="3:6" x14ac:dyDescent="0.3">
      <c r="C35" s="40"/>
      <c r="D35" s="134"/>
      <c r="E35" s="134"/>
      <c r="F35" s="100"/>
    </row>
    <row r="36" spans="3:6" x14ac:dyDescent="0.3">
      <c r="C36" s="40"/>
      <c r="D36" s="134"/>
      <c r="E36" s="134"/>
      <c r="F36" s="100"/>
    </row>
    <row r="37" spans="3:6" x14ac:dyDescent="0.3">
      <c r="C37" s="40"/>
      <c r="D37" s="134"/>
      <c r="E37" s="134"/>
      <c r="F37" s="100"/>
    </row>
    <row r="38" spans="3:6" x14ac:dyDescent="0.3">
      <c r="C38" s="40"/>
      <c r="D38" s="134"/>
      <c r="E38" s="134"/>
      <c r="F38" s="100"/>
    </row>
    <row r="39" spans="3:6" x14ac:dyDescent="0.3">
      <c r="C39" s="40"/>
      <c r="D39" s="134"/>
      <c r="E39" s="134"/>
      <c r="F39" s="100"/>
    </row>
    <row r="40" spans="3:6" x14ac:dyDescent="0.3">
      <c r="C40" s="40"/>
      <c r="D40" s="134"/>
      <c r="E40" s="134"/>
      <c r="F40" s="100"/>
    </row>
  </sheetData>
  <mergeCells count="4">
    <mergeCell ref="L2:N2"/>
    <mergeCell ref="R3:T3"/>
    <mergeCell ref="J2:J3"/>
    <mergeCell ref="J1:N1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6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3A26-6D0B-4494-BFD6-5CAB6596BA4C}">
  <sheetPr>
    <pageSetUpPr fitToPage="1"/>
  </sheetPr>
  <dimension ref="A1:T35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J2" sqref="J2:J3"/>
    </sheetView>
  </sheetViews>
  <sheetFormatPr defaultRowHeight="16.5" x14ac:dyDescent="0.3"/>
  <cols>
    <col min="1" max="1" width="16.5" style="58" customWidth="1"/>
    <col min="2" max="2" width="6.25" style="62" customWidth="1"/>
    <col min="3" max="3" width="42.625" style="42" customWidth="1"/>
    <col min="4" max="4" width="9" style="57"/>
    <col min="5" max="5" width="14.875" style="57" customWidth="1"/>
    <col min="6" max="6" width="14" style="102" customWidth="1"/>
    <col min="7" max="7" width="7.125" style="85" customWidth="1"/>
    <col min="8" max="9" width="7.125" customWidth="1"/>
    <col min="10" max="10" width="12.5" customWidth="1"/>
    <col min="11" max="11" width="14.875" customWidth="1"/>
    <col min="12" max="14" width="20.25" style="153" customWidth="1"/>
    <col min="18" max="18" width="9.875" bestFit="1" customWidth="1"/>
  </cols>
  <sheetData>
    <row r="1" spans="1:20" ht="39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82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34"/>
      <c r="F2" s="134"/>
      <c r="J2" s="198"/>
      <c r="K2" s="2"/>
      <c r="L2" s="202" t="s">
        <v>70</v>
      </c>
      <c r="M2" s="202"/>
      <c r="N2" s="202"/>
    </row>
    <row r="3" spans="1:20" ht="17.25" thickBot="1" x14ac:dyDescent="0.35">
      <c r="A3" s="205"/>
      <c r="C3" s="40"/>
      <c r="D3" s="134"/>
      <c r="E3" s="134"/>
      <c r="F3" s="134"/>
      <c r="J3" s="199"/>
      <c r="K3" s="3"/>
      <c r="L3" s="154" t="s">
        <v>52</v>
      </c>
      <c r="M3" s="155" t="s">
        <v>33</v>
      </c>
      <c r="N3" s="155" t="s">
        <v>53</v>
      </c>
      <c r="R3" s="197"/>
      <c r="S3" s="197"/>
      <c r="T3" s="197"/>
    </row>
    <row r="4" spans="1:20" ht="17.25" thickBot="1" x14ac:dyDescent="0.35">
      <c r="A4" s="204"/>
      <c r="C4" s="40"/>
      <c r="D4" s="134"/>
      <c r="E4" s="134"/>
      <c r="F4" s="134"/>
      <c r="J4" s="87" t="s">
        <v>54</v>
      </c>
      <c r="K4" s="2" t="s">
        <v>20</v>
      </c>
      <c r="L4" s="138" cm="1">
        <f t="array" ref="L4">SUM(IF(B:B="a",D:D))</f>
        <v>0</v>
      </c>
      <c r="M4" s="57" cm="1">
        <f t="array" ref="M4">SUM(IF(B:B="a",E:E))</f>
        <v>0</v>
      </c>
      <c r="N4" s="57" cm="1">
        <f t="array" ref="N4">SUM(IF(B:B="a",F:F))</f>
        <v>0</v>
      </c>
    </row>
    <row r="5" spans="1:20" ht="17.25" thickBot="1" x14ac:dyDescent="0.35">
      <c r="A5" s="203"/>
      <c r="C5" s="40"/>
      <c r="D5" s="134"/>
      <c r="E5" s="134"/>
      <c r="F5" s="134"/>
      <c r="J5" s="87" t="s">
        <v>49</v>
      </c>
      <c r="K5" s="2" t="s">
        <v>24</v>
      </c>
      <c r="L5" s="138" cm="1">
        <f t="array" ref="L5">SUM(IF(B:B="b",D:D))</f>
        <v>0</v>
      </c>
      <c r="M5" s="57" cm="1">
        <f t="array" ref="M5">SUM(IF(B:B="b",E:E))</f>
        <v>0</v>
      </c>
      <c r="N5" s="57" cm="1">
        <f t="array" ref="N5">SUM(IF(B:B="b",F:F))</f>
        <v>0</v>
      </c>
    </row>
    <row r="6" spans="1:20" ht="17.25" thickBot="1" x14ac:dyDescent="0.35">
      <c r="A6" s="204"/>
      <c r="C6" s="40"/>
      <c r="D6" s="134"/>
      <c r="E6" s="134"/>
      <c r="F6" s="134"/>
      <c r="J6" s="87" t="s">
        <v>51</v>
      </c>
      <c r="K6" s="2" t="s">
        <v>56</v>
      </c>
      <c r="L6" s="138" cm="1">
        <f t="array" ref="L6">SUM(IF(B:B="c",D:D))</f>
        <v>0</v>
      </c>
      <c r="M6" s="57" cm="1">
        <f t="array" ref="M6">SUM(IF(B:B="c",E:E))</f>
        <v>0</v>
      </c>
      <c r="N6" s="57" cm="1">
        <f t="array" ref="N6">SUM(IF(B:B="c",F:F))</f>
        <v>0</v>
      </c>
    </row>
    <row r="7" spans="1:20" ht="17.25" thickBot="1" x14ac:dyDescent="0.35">
      <c r="A7" s="203"/>
      <c r="C7" s="40"/>
      <c r="D7" s="134"/>
      <c r="E7" s="134"/>
      <c r="F7" s="134"/>
      <c r="J7" s="87" t="s">
        <v>57</v>
      </c>
      <c r="K7" s="2" t="s">
        <v>58</v>
      </c>
      <c r="L7" s="138" cm="1">
        <f t="array" ref="L7">SUM(IF(B:B="d",D:D))</f>
        <v>0</v>
      </c>
      <c r="M7" s="57" cm="1">
        <f t="array" ref="M7">SUM(IF(B:B="d",E:E))</f>
        <v>0</v>
      </c>
      <c r="N7" s="57" cm="1">
        <f t="array" ref="N7">SUM(IF(B:B="d",F:F))</f>
        <v>0</v>
      </c>
    </row>
    <row r="8" spans="1:20" ht="17.25" thickBot="1" x14ac:dyDescent="0.35">
      <c r="A8" s="204"/>
      <c r="C8" s="40"/>
      <c r="D8" s="134"/>
      <c r="E8" s="134"/>
      <c r="F8" s="134"/>
      <c r="J8" s="87" t="s">
        <v>55</v>
      </c>
      <c r="K8" s="2" t="s">
        <v>59</v>
      </c>
      <c r="L8" s="138" cm="1">
        <f t="array" ref="L8">SUM(IF(B:B="e",D:D))</f>
        <v>0</v>
      </c>
      <c r="M8" s="57" cm="1">
        <f t="array" ref="M8">SUM(IF(B:B="e",E:E))</f>
        <v>0</v>
      </c>
      <c r="N8" s="57" cm="1">
        <f t="array" ref="N8">SUM(IF(B:B="e",F:F))</f>
        <v>0</v>
      </c>
    </row>
    <row r="9" spans="1:20" ht="17.25" thickBot="1" x14ac:dyDescent="0.35">
      <c r="C9" s="40"/>
      <c r="D9" s="134"/>
      <c r="E9" s="134"/>
      <c r="F9" s="134"/>
      <c r="J9" s="87" t="s">
        <v>60</v>
      </c>
      <c r="K9" s="2" t="s">
        <v>61</v>
      </c>
      <c r="L9" s="138" cm="1">
        <f t="array" ref="L9">SUM(IF(B:B="f",D:D))</f>
        <v>0</v>
      </c>
      <c r="M9" s="57" cm="1">
        <f t="array" ref="M9">SUM(IF(B:B="f",E:E))</f>
        <v>0</v>
      </c>
      <c r="N9" s="57" cm="1">
        <f t="array" ref="N9">SUM(IF(B:B="f",F:F))</f>
        <v>0</v>
      </c>
    </row>
    <row r="10" spans="1:20" ht="17.25" thickBot="1" x14ac:dyDescent="0.35">
      <c r="C10" s="40"/>
      <c r="D10" s="134"/>
      <c r="E10" s="134"/>
      <c r="F10" s="134"/>
      <c r="J10" s="87" t="s">
        <v>62</v>
      </c>
      <c r="K10" s="2" t="s">
        <v>31</v>
      </c>
      <c r="L10" s="138" cm="1">
        <f t="array" ref="L10">SUM(IF(B:B="g",D:D))</f>
        <v>0</v>
      </c>
      <c r="M10" s="57" cm="1">
        <f t="array" ref="M10">SUM(IF(B:B="g",E:E))</f>
        <v>0</v>
      </c>
      <c r="N10" s="57" cm="1">
        <f t="array" ref="N10">SUM(IF(B:B="g",F:F))</f>
        <v>0</v>
      </c>
    </row>
    <row r="11" spans="1:20" ht="17.25" thickBot="1" x14ac:dyDescent="0.35">
      <c r="C11" s="40"/>
      <c r="D11" s="134"/>
      <c r="E11" s="134"/>
      <c r="F11" s="134"/>
      <c r="J11" s="87" t="s">
        <v>63</v>
      </c>
      <c r="K11" s="2" t="s">
        <v>32</v>
      </c>
      <c r="L11" s="138" cm="1">
        <f t="array" ref="L11">SUM(IF(B:B="h",D:D))</f>
        <v>0</v>
      </c>
      <c r="M11" s="57" cm="1">
        <f t="array" ref="M11">SUM(IF(B:B="h",E:E))</f>
        <v>0</v>
      </c>
      <c r="N11" s="57" cm="1">
        <f t="array" ref="N11">SUM(IF(B:B="h",F:F))</f>
        <v>0</v>
      </c>
    </row>
    <row r="12" spans="1:20" ht="17.25" customHeight="1" thickBot="1" x14ac:dyDescent="0.35">
      <c r="C12" s="49"/>
      <c r="D12" s="142"/>
      <c r="E12" s="142"/>
      <c r="F12" s="142"/>
      <c r="J12" s="87"/>
      <c r="K12" s="2"/>
      <c r="L12" s="138"/>
      <c r="M12" s="57"/>
      <c r="N12" s="57"/>
    </row>
    <row r="13" spans="1:20" ht="17.25" thickBot="1" x14ac:dyDescent="0.35">
      <c r="A13" s="203"/>
      <c r="C13" s="44"/>
      <c r="D13" s="134"/>
      <c r="E13" s="134"/>
      <c r="F13" s="134"/>
      <c r="J13" s="93"/>
      <c r="K13" s="94"/>
      <c r="L13" s="139"/>
      <c r="M13" s="125"/>
      <c r="N13" s="125"/>
    </row>
    <row r="14" spans="1:20" ht="17.25" thickBot="1" x14ac:dyDescent="0.35">
      <c r="A14" s="204"/>
      <c r="C14" s="44"/>
      <c r="D14" s="134"/>
      <c r="E14" s="134"/>
      <c r="F14" s="134"/>
      <c r="J14" s="87"/>
      <c r="K14" s="2" t="s">
        <v>4</v>
      </c>
      <c r="L14" s="140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C15" s="40"/>
      <c r="D15" s="134"/>
      <c r="E15" s="134"/>
      <c r="F15" s="141"/>
    </row>
    <row r="16" spans="1:20" x14ac:dyDescent="0.3">
      <c r="A16" s="203"/>
      <c r="C16" s="40"/>
      <c r="D16" s="134"/>
      <c r="E16" s="134"/>
      <c r="F16" s="134"/>
    </row>
    <row r="17" spans="1:6" x14ac:dyDescent="0.3">
      <c r="A17" s="204"/>
      <c r="C17" s="40"/>
      <c r="D17" s="134"/>
      <c r="E17" s="134"/>
      <c r="F17" s="134"/>
    </row>
    <row r="18" spans="1:6" x14ac:dyDescent="0.3">
      <c r="C18" s="40"/>
      <c r="D18" s="134"/>
      <c r="E18" s="134"/>
      <c r="F18" s="134"/>
    </row>
    <row r="19" spans="1:6" x14ac:dyDescent="0.3">
      <c r="C19" s="40"/>
      <c r="D19" s="134"/>
      <c r="E19" s="134"/>
      <c r="F19" s="134"/>
    </row>
    <row r="20" spans="1:6" x14ac:dyDescent="0.3">
      <c r="C20" s="40"/>
      <c r="D20" s="134"/>
      <c r="E20" s="134"/>
      <c r="F20" s="134"/>
    </row>
    <row r="21" spans="1:6" x14ac:dyDescent="0.3">
      <c r="C21" s="40"/>
      <c r="D21" s="134"/>
      <c r="E21" s="134"/>
      <c r="F21" s="134"/>
    </row>
    <row r="22" spans="1:6" x14ac:dyDescent="0.3">
      <c r="C22" s="40"/>
      <c r="D22" s="134"/>
      <c r="E22" s="134"/>
      <c r="F22" s="134"/>
    </row>
    <row r="23" spans="1:6" x14ac:dyDescent="0.3">
      <c r="A23" s="203"/>
      <c r="C23" s="40"/>
      <c r="D23" s="134"/>
      <c r="E23" s="134"/>
      <c r="F23" s="141"/>
    </row>
    <row r="24" spans="1:6" x14ac:dyDescent="0.3">
      <c r="A24" s="204"/>
      <c r="C24" s="40"/>
      <c r="D24" s="134"/>
      <c r="E24" s="134"/>
      <c r="F24" s="141"/>
    </row>
    <row r="25" spans="1:6" x14ac:dyDescent="0.3">
      <c r="A25" s="203"/>
      <c r="C25" s="40"/>
      <c r="D25" s="134"/>
      <c r="E25" s="134"/>
      <c r="F25" s="141"/>
    </row>
    <row r="26" spans="1:6" x14ac:dyDescent="0.3">
      <c r="A26" s="205"/>
      <c r="C26" s="40"/>
      <c r="D26" s="134"/>
      <c r="E26" s="134"/>
      <c r="F26" s="141"/>
    </row>
    <row r="27" spans="1:6" x14ac:dyDescent="0.3">
      <c r="A27" s="204"/>
      <c r="C27" s="40"/>
      <c r="D27" s="134"/>
      <c r="E27" s="134"/>
      <c r="F27" s="141"/>
    </row>
    <row r="28" spans="1:6" x14ac:dyDescent="0.3">
      <c r="A28" s="203"/>
      <c r="C28" s="40"/>
      <c r="D28" s="165"/>
      <c r="E28" s="134"/>
      <c r="F28" s="141"/>
    </row>
    <row r="29" spans="1:6" x14ac:dyDescent="0.3">
      <c r="A29" s="204"/>
      <c r="C29" s="40"/>
      <c r="D29" s="165"/>
      <c r="E29" s="134"/>
      <c r="F29" s="141"/>
    </row>
    <row r="30" spans="1:6" x14ac:dyDescent="0.3">
      <c r="C30" s="40"/>
      <c r="D30" s="134"/>
      <c r="E30" s="134"/>
      <c r="F30" s="141"/>
    </row>
    <row r="31" spans="1:6" x14ac:dyDescent="0.3">
      <c r="C31" s="40"/>
      <c r="D31" s="134"/>
      <c r="E31" s="134"/>
      <c r="F31" s="141"/>
    </row>
    <row r="32" spans="1:6" x14ac:dyDescent="0.3">
      <c r="C32" s="164"/>
      <c r="D32" s="165"/>
      <c r="E32" s="134"/>
      <c r="F32" s="141"/>
    </row>
    <row r="33" spans="3:6" x14ac:dyDescent="0.3">
      <c r="C33" s="40"/>
      <c r="D33" s="134"/>
      <c r="E33" s="134"/>
      <c r="F33" s="99"/>
    </row>
    <row r="34" spans="3:6" x14ac:dyDescent="0.3">
      <c r="C34" s="40"/>
      <c r="D34" s="134"/>
      <c r="E34" s="134"/>
      <c r="F34" s="99"/>
    </row>
    <row r="35" spans="3:6" x14ac:dyDescent="0.3">
      <c r="C35" s="40"/>
      <c r="D35" s="134"/>
      <c r="E35" s="134"/>
      <c r="F35" s="99"/>
    </row>
  </sheetData>
  <mergeCells count="4">
    <mergeCell ref="L2:N2"/>
    <mergeCell ref="R3:T3"/>
    <mergeCell ref="J2:J3"/>
    <mergeCell ref="J1:N1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4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8E72-82AD-4EC9-9F41-8F3B6E5F5F09}">
  <sheetPr>
    <pageSetUpPr fitToPage="1"/>
  </sheetPr>
  <dimension ref="A1:T37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J2" sqref="J2:J3"/>
    </sheetView>
  </sheetViews>
  <sheetFormatPr defaultRowHeight="16.5" x14ac:dyDescent="0.3"/>
  <cols>
    <col min="1" max="1" width="16.5" style="58" customWidth="1"/>
    <col min="2" max="2" width="6.25" style="62" customWidth="1"/>
    <col min="3" max="3" width="33.375" style="42" customWidth="1"/>
    <col min="4" max="4" width="9.375" style="57" bestFit="1" customWidth="1"/>
    <col min="5" max="5" width="15.75" style="57" customWidth="1"/>
    <col min="6" max="6" width="15.625" style="102" customWidth="1"/>
    <col min="7" max="7" width="5.5" style="85" customWidth="1"/>
    <col min="8" max="9" width="5.5" customWidth="1"/>
    <col min="10" max="10" width="12.5" customWidth="1"/>
    <col min="11" max="11" width="14.875" customWidth="1"/>
    <col min="12" max="14" width="20.5" customWidth="1"/>
    <col min="18" max="18" width="9.875" bestFit="1" customWidth="1"/>
  </cols>
  <sheetData>
    <row r="1" spans="1:20" ht="38.25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83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34"/>
      <c r="F2" s="134"/>
      <c r="J2" s="198"/>
      <c r="K2" s="2"/>
      <c r="L2" s="196" t="s">
        <v>71</v>
      </c>
      <c r="M2" s="196"/>
      <c r="N2" s="196"/>
    </row>
    <row r="3" spans="1:20" ht="17.25" thickBot="1" x14ac:dyDescent="0.35">
      <c r="A3" s="204"/>
      <c r="C3" s="40"/>
      <c r="D3" s="134"/>
      <c r="E3" s="134"/>
      <c r="F3" s="134"/>
      <c r="J3" s="199"/>
      <c r="K3" s="3"/>
      <c r="L3" s="41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3"/>
      <c r="C4" s="40"/>
      <c r="D4" s="134"/>
      <c r="E4" s="134"/>
      <c r="F4" s="134"/>
      <c r="J4" s="87" t="s">
        <v>54</v>
      </c>
      <c r="K4" s="96" t="s">
        <v>20</v>
      </c>
      <c r="L4" s="136" cm="1">
        <f t="array" ref="L4">SUM(IF(B:B="a",D:D))</f>
        <v>0</v>
      </c>
      <c r="M4" s="137" cm="1">
        <f t="array" ref="M4">SUM(IF(B:B="a",E:E))</f>
        <v>0</v>
      </c>
      <c r="N4" s="137" cm="1">
        <f t="array" ref="N4">SUM(IF(B:B="a",F:F))</f>
        <v>0</v>
      </c>
    </row>
    <row r="5" spans="1:20" ht="17.25" thickBot="1" x14ac:dyDescent="0.35">
      <c r="A5" s="205"/>
      <c r="C5" s="40"/>
      <c r="D5" s="134"/>
      <c r="E5" s="134"/>
      <c r="F5" s="134"/>
      <c r="J5" s="87" t="s">
        <v>49</v>
      </c>
      <c r="K5" s="2" t="s">
        <v>24</v>
      </c>
      <c r="L5" s="138" cm="1">
        <f t="array" ref="L5">SUM(IF(B:B="b",D:D))</f>
        <v>0</v>
      </c>
      <c r="M5" s="57" cm="1">
        <f t="array" ref="M5">SUM(IF(B:B="b",E:E))</f>
        <v>0</v>
      </c>
      <c r="N5" s="57" cm="1">
        <f t="array" ref="N5">SUM(IF(B:B="b",F:F))</f>
        <v>0</v>
      </c>
    </row>
    <row r="6" spans="1:20" ht="17.25" thickBot="1" x14ac:dyDescent="0.35">
      <c r="A6" s="204"/>
      <c r="C6" s="40"/>
      <c r="D6" s="134"/>
      <c r="E6" s="134"/>
      <c r="F6" s="134"/>
      <c r="J6" s="87" t="s">
        <v>51</v>
      </c>
      <c r="K6" s="2" t="s">
        <v>56</v>
      </c>
      <c r="L6" s="138" cm="1">
        <f t="array" ref="L6">SUM(IF(B:B="c",D:D))</f>
        <v>0</v>
      </c>
      <c r="M6" s="57" cm="1">
        <f t="array" ref="M6">SUM(IF(B:B="c",E:E))</f>
        <v>0</v>
      </c>
      <c r="N6" s="57" cm="1">
        <f t="array" ref="N6">SUM(IF(B:B="c",F:F))</f>
        <v>0</v>
      </c>
    </row>
    <row r="7" spans="1:20" ht="17.25" thickBot="1" x14ac:dyDescent="0.35">
      <c r="A7" s="203"/>
      <c r="C7" s="40"/>
      <c r="D7" s="134"/>
      <c r="E7" s="134"/>
      <c r="F7" s="134"/>
      <c r="J7" s="87" t="s">
        <v>57</v>
      </c>
      <c r="K7" s="2" t="s">
        <v>58</v>
      </c>
      <c r="L7" s="138" cm="1">
        <f t="array" ref="L7">SUM(IF(B:B="d",D:D))</f>
        <v>0</v>
      </c>
      <c r="M7" s="57" cm="1">
        <f t="array" ref="M7">SUM(IF(B:B="d",E:E))</f>
        <v>0</v>
      </c>
      <c r="N7" s="57" cm="1">
        <f t="array" ref="N7">SUM(IF(B:B="d",F:F))</f>
        <v>0</v>
      </c>
    </row>
    <row r="8" spans="1:20" ht="17.25" thickBot="1" x14ac:dyDescent="0.35">
      <c r="A8" s="204"/>
      <c r="C8" s="40"/>
      <c r="D8" s="134"/>
      <c r="E8" s="134"/>
      <c r="F8" s="134"/>
      <c r="J8" s="87" t="s">
        <v>55</v>
      </c>
      <c r="K8" s="2" t="s">
        <v>59</v>
      </c>
      <c r="L8" s="138" cm="1">
        <f t="array" ref="L8">SUM(IF(B:B="e",D:D))</f>
        <v>0</v>
      </c>
      <c r="M8" s="57" cm="1">
        <f t="array" ref="M8">SUM(IF(B:B="e",E:E))</f>
        <v>0</v>
      </c>
      <c r="N8" s="57" cm="1">
        <f t="array" ref="N8">SUM(IF(B:B="e",F:F))</f>
        <v>0</v>
      </c>
    </row>
    <row r="9" spans="1:20" ht="17.25" thickBot="1" x14ac:dyDescent="0.35">
      <c r="A9" s="203"/>
      <c r="C9" s="40"/>
      <c r="D9" s="134"/>
      <c r="E9" s="134"/>
      <c r="F9" s="134"/>
      <c r="J9" s="87" t="s">
        <v>60</v>
      </c>
      <c r="K9" s="2" t="s">
        <v>61</v>
      </c>
      <c r="L9" s="138" cm="1">
        <f t="array" ref="L9">SUM(IF(B:B="f",D:D))</f>
        <v>0</v>
      </c>
      <c r="M9" s="57" cm="1">
        <f t="array" ref="M9">SUM(IF(B:B="f",E:E))</f>
        <v>0</v>
      </c>
      <c r="N9" s="57" cm="1">
        <f t="array" ref="N9">SUM(IF(B:B="f",F:F))</f>
        <v>0</v>
      </c>
    </row>
    <row r="10" spans="1:20" ht="17.25" thickBot="1" x14ac:dyDescent="0.35">
      <c r="A10" s="205"/>
      <c r="C10" s="40"/>
      <c r="D10" s="134"/>
      <c r="E10" s="134"/>
      <c r="F10" s="134"/>
      <c r="J10" s="87" t="s">
        <v>62</v>
      </c>
      <c r="K10" s="2" t="s">
        <v>31</v>
      </c>
      <c r="L10" s="138" cm="1">
        <f t="array" ref="L10">SUM(IF(B:B="g",D:D))</f>
        <v>0</v>
      </c>
      <c r="M10" s="57" cm="1">
        <f t="array" ref="M10">SUM(IF(B:B="g",E:E))</f>
        <v>0</v>
      </c>
      <c r="N10" s="57" cm="1">
        <f t="array" ref="N10">SUM(IF(B:B="g",F:F))</f>
        <v>0</v>
      </c>
    </row>
    <row r="11" spans="1:20" ht="17.25" thickBot="1" x14ac:dyDescent="0.35">
      <c r="A11" s="205"/>
      <c r="C11" s="40"/>
      <c r="D11" s="134"/>
      <c r="E11" s="134"/>
      <c r="F11" s="134"/>
      <c r="J11" s="87" t="s">
        <v>63</v>
      </c>
      <c r="K11" s="2" t="s">
        <v>32</v>
      </c>
      <c r="L11" s="138" cm="1">
        <f t="array" ref="L11">SUM(IF(B:B="h",D:D))</f>
        <v>0</v>
      </c>
      <c r="M11" s="57" cm="1">
        <f t="array" ref="M11">SUM(IF(B:B="h",E:E))</f>
        <v>0</v>
      </c>
      <c r="N11" s="57" cm="1">
        <f t="array" ref="N11">SUM(IF(B:B="h",F:F))</f>
        <v>0</v>
      </c>
    </row>
    <row r="12" spans="1:20" ht="17.25" thickBot="1" x14ac:dyDescent="0.35">
      <c r="A12" s="204"/>
      <c r="C12" s="40"/>
      <c r="D12" s="134"/>
      <c r="E12" s="134"/>
      <c r="F12" s="134"/>
      <c r="J12" s="87"/>
      <c r="K12" s="2"/>
      <c r="L12" s="138"/>
      <c r="M12" s="57"/>
      <c r="N12" s="57"/>
    </row>
    <row r="13" spans="1:20" ht="17.25" thickBot="1" x14ac:dyDescent="0.35">
      <c r="C13" s="40"/>
      <c r="D13" s="134"/>
      <c r="E13" s="134"/>
      <c r="F13" s="134"/>
      <c r="J13" s="93"/>
      <c r="K13" s="94"/>
      <c r="L13" s="139"/>
      <c r="M13" s="125"/>
      <c r="N13" s="125"/>
    </row>
    <row r="14" spans="1:20" ht="17.25" thickBot="1" x14ac:dyDescent="0.35">
      <c r="C14" s="40"/>
      <c r="D14" s="134"/>
      <c r="E14" s="134"/>
      <c r="F14" s="134"/>
      <c r="J14" s="87"/>
      <c r="K14" s="2" t="s">
        <v>4</v>
      </c>
      <c r="L14" s="140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A15" s="203"/>
      <c r="C15" s="40"/>
      <c r="D15" s="134"/>
      <c r="E15" s="134"/>
      <c r="F15" s="134"/>
    </row>
    <row r="16" spans="1:20" x14ac:dyDescent="0.3">
      <c r="A16" s="204"/>
      <c r="C16" s="40"/>
      <c r="D16" s="134"/>
      <c r="E16" s="134"/>
      <c r="F16" s="134"/>
    </row>
    <row r="17" spans="1:6" x14ac:dyDescent="0.3">
      <c r="C17" s="44"/>
      <c r="D17" s="134"/>
      <c r="E17" s="134"/>
      <c r="F17" s="134"/>
    </row>
    <row r="18" spans="1:6" x14ac:dyDescent="0.3">
      <c r="C18" s="40"/>
      <c r="D18" s="134"/>
      <c r="E18" s="134"/>
      <c r="F18" s="134"/>
    </row>
    <row r="19" spans="1:6" x14ac:dyDescent="0.3">
      <c r="C19" s="48"/>
      <c r="D19" s="142"/>
      <c r="E19" s="134"/>
      <c r="F19" s="134"/>
    </row>
    <row r="20" spans="1:6" x14ac:dyDescent="0.3">
      <c r="C20" s="40"/>
      <c r="D20" s="134"/>
      <c r="E20" s="134"/>
      <c r="F20" s="141"/>
    </row>
    <row r="21" spans="1:6" x14ac:dyDescent="0.3">
      <c r="C21" s="40"/>
      <c r="D21" s="134"/>
      <c r="E21" s="134"/>
      <c r="F21" s="141"/>
    </row>
    <row r="22" spans="1:6" x14ac:dyDescent="0.3">
      <c r="C22" s="40"/>
      <c r="D22" s="134"/>
      <c r="E22" s="134"/>
      <c r="F22" s="141"/>
    </row>
    <row r="23" spans="1:6" x14ac:dyDescent="0.3">
      <c r="C23" s="40"/>
      <c r="D23" s="134"/>
      <c r="E23" s="134"/>
      <c r="F23" s="134"/>
    </row>
    <row r="24" spans="1:6" x14ac:dyDescent="0.3">
      <c r="A24" s="203"/>
      <c r="C24" s="40"/>
      <c r="D24" s="134"/>
      <c r="E24" s="134"/>
      <c r="F24" s="141"/>
    </row>
    <row r="25" spans="1:6" x14ac:dyDescent="0.3">
      <c r="A25" s="205"/>
      <c r="C25" s="40"/>
      <c r="D25" s="134"/>
      <c r="E25" s="134"/>
      <c r="F25" s="141"/>
    </row>
    <row r="26" spans="1:6" x14ac:dyDescent="0.3">
      <c r="A26" s="204"/>
      <c r="C26" s="40"/>
      <c r="D26" s="134"/>
      <c r="E26" s="134"/>
      <c r="F26" s="141"/>
    </row>
    <row r="27" spans="1:6" x14ac:dyDescent="0.3">
      <c r="A27" s="203"/>
      <c r="C27" s="40"/>
      <c r="D27" s="134"/>
      <c r="E27" s="134"/>
      <c r="F27" s="141"/>
    </row>
    <row r="28" spans="1:6" x14ac:dyDescent="0.3">
      <c r="A28" s="204"/>
      <c r="C28" s="40"/>
      <c r="D28" s="134"/>
      <c r="E28" s="134"/>
      <c r="F28" s="141"/>
    </row>
    <row r="29" spans="1:6" x14ac:dyDescent="0.3">
      <c r="A29" s="203"/>
      <c r="C29" s="40"/>
      <c r="D29" s="134"/>
      <c r="E29" s="134"/>
      <c r="F29" s="141"/>
    </row>
    <row r="30" spans="1:6" x14ac:dyDescent="0.3">
      <c r="A30" s="205"/>
      <c r="C30" s="40"/>
      <c r="D30" s="134"/>
      <c r="E30" s="134"/>
      <c r="F30" s="134"/>
    </row>
    <row r="31" spans="1:6" x14ac:dyDescent="0.3">
      <c r="A31" s="205"/>
      <c r="C31" s="40"/>
      <c r="D31" s="134"/>
      <c r="E31" s="134"/>
      <c r="F31" s="134"/>
    </row>
    <row r="32" spans="1:6" x14ac:dyDescent="0.3">
      <c r="A32" s="204"/>
      <c r="C32" s="40"/>
      <c r="D32" s="134"/>
      <c r="E32" s="134"/>
      <c r="F32" s="141"/>
    </row>
    <row r="33" spans="1:6" x14ac:dyDescent="0.3">
      <c r="C33" s="40"/>
      <c r="D33" s="165"/>
      <c r="E33" s="134"/>
      <c r="F33" s="141"/>
    </row>
    <row r="34" spans="1:6" x14ac:dyDescent="0.3">
      <c r="A34" s="203"/>
      <c r="C34" s="40"/>
      <c r="D34" s="134"/>
      <c r="E34" s="134"/>
      <c r="F34" s="99"/>
    </row>
    <row r="35" spans="1:6" x14ac:dyDescent="0.3">
      <c r="A35" s="204"/>
    </row>
    <row r="36" spans="1:6" x14ac:dyDescent="0.3">
      <c r="A36" s="203"/>
    </row>
    <row r="37" spans="1:6" x14ac:dyDescent="0.3">
      <c r="A37" s="204"/>
    </row>
  </sheetData>
  <mergeCells count="4">
    <mergeCell ref="L2:N2"/>
    <mergeCell ref="R3:T3"/>
    <mergeCell ref="J2:J3"/>
    <mergeCell ref="J1:N1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4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E2AE-5488-4E41-9AB4-F93EA5D1054F}">
  <sheetPr>
    <pageSetUpPr fitToPage="1"/>
  </sheetPr>
  <dimension ref="A1:T34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J2" sqref="J2:J3"/>
    </sheetView>
  </sheetViews>
  <sheetFormatPr defaultRowHeight="16.5" x14ac:dyDescent="0.3"/>
  <cols>
    <col min="1" max="1" width="19.875" style="58" customWidth="1"/>
    <col min="2" max="2" width="6.25" style="62" customWidth="1"/>
    <col min="3" max="3" width="32.625" style="42" customWidth="1"/>
    <col min="4" max="4" width="9.375" style="57" bestFit="1" customWidth="1"/>
    <col min="5" max="5" width="15.5" style="57" customWidth="1"/>
    <col min="6" max="6" width="15.875" style="102" customWidth="1"/>
    <col min="7" max="7" width="7.625" style="85" customWidth="1"/>
    <col min="8" max="9" width="7.625" customWidth="1"/>
    <col min="10" max="10" width="12.5" customWidth="1"/>
    <col min="11" max="11" width="14.875" customWidth="1"/>
    <col min="12" max="14" width="21.625" customWidth="1"/>
    <col min="18" max="18" width="9.875" bestFit="1" customWidth="1"/>
  </cols>
  <sheetData>
    <row r="1" spans="1:20" ht="33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84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34"/>
      <c r="F2" s="134"/>
      <c r="J2" s="198"/>
      <c r="K2" s="2"/>
      <c r="L2" s="196" t="s">
        <v>72</v>
      </c>
      <c r="M2" s="196"/>
      <c r="N2" s="196"/>
    </row>
    <row r="3" spans="1:20" ht="17.25" thickBot="1" x14ac:dyDescent="0.35">
      <c r="A3" s="205"/>
      <c r="C3" s="40"/>
      <c r="D3" s="134"/>
      <c r="E3" s="134"/>
      <c r="F3" s="134"/>
      <c r="J3" s="199"/>
      <c r="K3" s="3"/>
      <c r="L3" s="2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5"/>
      <c r="C4" s="40"/>
      <c r="D4" s="134"/>
      <c r="E4" s="134"/>
      <c r="F4" s="134"/>
      <c r="J4" s="87" t="s">
        <v>54</v>
      </c>
      <c r="K4" s="2" t="s">
        <v>20</v>
      </c>
      <c r="L4" s="104" cm="1">
        <f t="array" ref="L4">SUM(IF(B:B="a",D:D))</f>
        <v>0</v>
      </c>
      <c r="M4" s="105" cm="1">
        <f t="array" ref="M4">SUM(IF(B:B="a",E:E))</f>
        <v>0</v>
      </c>
      <c r="N4" s="106" cm="1">
        <f t="array" ref="N4">SUM(IF(B:B="a",F:F))</f>
        <v>0</v>
      </c>
    </row>
    <row r="5" spans="1:20" ht="17.25" thickBot="1" x14ac:dyDescent="0.35">
      <c r="A5" s="205"/>
      <c r="C5" s="40"/>
      <c r="D5" s="134"/>
      <c r="E5" s="134"/>
      <c r="F5" s="134"/>
      <c r="J5" s="87" t="s">
        <v>49</v>
      </c>
      <c r="K5" s="2" t="s">
        <v>24</v>
      </c>
      <c r="L5" s="107" cm="1">
        <f t="array" ref="L5">SUM(IF(B:B="b",D:D))</f>
        <v>0</v>
      </c>
      <c r="M5" s="57" cm="1">
        <f t="array" ref="M5">SUM(IF(B:B="b",E:E))</f>
        <v>0</v>
      </c>
      <c r="N5" s="108" cm="1">
        <f t="array" ref="N5">SUM(IF(B:B="b",F:F))</f>
        <v>0</v>
      </c>
    </row>
    <row r="6" spans="1:20" ht="17.25" thickBot="1" x14ac:dyDescent="0.35">
      <c r="A6" s="204"/>
      <c r="C6" s="40"/>
      <c r="D6" s="134"/>
      <c r="E6" s="134"/>
      <c r="F6" s="134"/>
      <c r="J6" s="87" t="s">
        <v>51</v>
      </c>
      <c r="K6" s="2" t="s">
        <v>56</v>
      </c>
      <c r="L6" s="107" cm="1">
        <f t="array" ref="L6">SUM(IF(B:B="c",D:D))</f>
        <v>0</v>
      </c>
      <c r="M6" s="57" cm="1">
        <f t="array" ref="M6">SUM(IF(B:B="c",E:E))</f>
        <v>0</v>
      </c>
      <c r="N6" s="108" cm="1">
        <f t="array" ref="N6">SUM(IF(B:B="c",F:F))</f>
        <v>0</v>
      </c>
    </row>
    <row r="7" spans="1:20" ht="17.25" thickBot="1" x14ac:dyDescent="0.35">
      <c r="C7" s="40"/>
      <c r="D7" s="134"/>
      <c r="E7" s="134"/>
      <c r="F7" s="134"/>
      <c r="J7" s="87" t="s">
        <v>57</v>
      </c>
      <c r="K7" s="2" t="s">
        <v>58</v>
      </c>
      <c r="L7" s="107" cm="1">
        <f t="array" ref="L7">SUM(IF(B:B="d",D:D))</f>
        <v>0</v>
      </c>
      <c r="M7" s="57" cm="1">
        <f t="array" ref="M7">SUM(IF(B:B="d",E:E))</f>
        <v>0</v>
      </c>
      <c r="N7" s="108" cm="1">
        <f t="array" ref="N7">SUM(IF(B:B="d",F:F))</f>
        <v>0</v>
      </c>
    </row>
    <row r="8" spans="1:20" ht="17.25" thickBot="1" x14ac:dyDescent="0.35">
      <c r="A8" s="203"/>
      <c r="C8" s="40"/>
      <c r="D8" s="134"/>
      <c r="E8" s="134"/>
      <c r="F8" s="134"/>
      <c r="J8" s="87" t="s">
        <v>55</v>
      </c>
      <c r="K8" s="2" t="s">
        <v>59</v>
      </c>
      <c r="L8" s="107" cm="1">
        <f t="array" ref="L8">SUM(IF(B:B="e",D:D))</f>
        <v>0</v>
      </c>
      <c r="M8" s="57" cm="1">
        <f t="array" ref="M8">SUM(IF(B:B="e",E:E))</f>
        <v>0</v>
      </c>
      <c r="N8" s="108" cm="1">
        <f t="array" ref="N8">SUM(IF(B:B="e",F:F))</f>
        <v>0</v>
      </c>
    </row>
    <row r="9" spans="1:20" ht="17.25" thickBot="1" x14ac:dyDescent="0.35">
      <c r="A9" s="204"/>
      <c r="C9" s="40"/>
      <c r="D9" s="134"/>
      <c r="E9" s="134"/>
      <c r="F9" s="134"/>
      <c r="J9" s="87" t="s">
        <v>60</v>
      </c>
      <c r="K9" s="2" t="s">
        <v>61</v>
      </c>
      <c r="L9" s="107" cm="1">
        <f t="array" ref="L9">SUM(IF(B:B="f",D:D))</f>
        <v>0</v>
      </c>
      <c r="M9" s="57" cm="1">
        <f t="array" ref="M9">SUM(IF(B:B="f",E:E))</f>
        <v>0</v>
      </c>
      <c r="N9" s="108" cm="1">
        <f t="array" ref="N9">SUM(IF(B:B="f",F:F))</f>
        <v>0</v>
      </c>
    </row>
    <row r="10" spans="1:20" ht="17.25" thickBot="1" x14ac:dyDescent="0.35">
      <c r="C10" s="40"/>
      <c r="D10" s="134"/>
      <c r="E10" s="134"/>
      <c r="F10" s="134"/>
      <c r="J10" s="87" t="s">
        <v>62</v>
      </c>
      <c r="K10" s="2" t="s">
        <v>31</v>
      </c>
      <c r="L10" s="107" cm="1">
        <f t="array" ref="L10">SUM(IF(B:B="g",D:D))</f>
        <v>0</v>
      </c>
      <c r="M10" s="57" cm="1">
        <f t="array" ref="M10">SUM(IF(B:B="g",E:E))</f>
        <v>0</v>
      </c>
      <c r="N10" s="108" cm="1">
        <f t="array" ref="N10">SUM(IF(B:B="g",F:F))</f>
        <v>0</v>
      </c>
    </row>
    <row r="11" spans="1:20" ht="17.25" thickBot="1" x14ac:dyDescent="0.35">
      <c r="C11" s="40"/>
      <c r="D11" s="134"/>
      <c r="E11" s="134"/>
      <c r="F11" s="134"/>
      <c r="J11" s="87" t="s">
        <v>63</v>
      </c>
      <c r="K11" s="2" t="s">
        <v>32</v>
      </c>
      <c r="L11" s="107" cm="1">
        <f t="array" ref="L11">SUM(IF(B:B="h",D:D))</f>
        <v>0</v>
      </c>
      <c r="M11" s="57" cm="1">
        <f t="array" ref="M11">SUM(IF(B:B="h",E:E))</f>
        <v>0</v>
      </c>
      <c r="N11" s="108" cm="1">
        <f t="array" ref="N11">SUM(IF(B:B="h",F:F))</f>
        <v>0</v>
      </c>
    </row>
    <row r="12" spans="1:20" ht="17.25" thickBot="1" x14ac:dyDescent="0.35">
      <c r="A12" s="203"/>
      <c r="C12" s="40"/>
      <c r="D12" s="134"/>
      <c r="E12" s="134"/>
      <c r="F12" s="134"/>
      <c r="J12" s="87"/>
      <c r="K12" s="2"/>
      <c r="L12" s="107"/>
      <c r="M12" s="57"/>
      <c r="N12" s="108"/>
    </row>
    <row r="13" spans="1:20" ht="17.25" thickBot="1" x14ac:dyDescent="0.35">
      <c r="A13" s="204"/>
      <c r="C13" s="40"/>
      <c r="D13" s="134"/>
      <c r="E13" s="134"/>
      <c r="F13" s="134"/>
      <c r="J13" s="87"/>
      <c r="K13" s="94"/>
      <c r="L13" s="124"/>
      <c r="M13" s="125"/>
      <c r="N13" s="126"/>
    </row>
    <row r="14" spans="1:20" ht="17.25" thickBot="1" x14ac:dyDescent="0.35">
      <c r="C14" s="40"/>
      <c r="D14" s="134"/>
      <c r="E14" s="134"/>
      <c r="F14" s="134"/>
      <c r="J14" s="88"/>
      <c r="K14" s="2" t="s">
        <v>4</v>
      </c>
      <c r="L14" s="127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A15" s="203"/>
      <c r="C15" s="40"/>
      <c r="D15" s="134"/>
      <c r="E15" s="134"/>
      <c r="F15" s="134"/>
    </row>
    <row r="16" spans="1:20" x14ac:dyDescent="0.3">
      <c r="A16" s="204"/>
      <c r="C16" s="40"/>
      <c r="D16" s="134"/>
      <c r="E16" s="134"/>
      <c r="F16" s="134"/>
    </row>
    <row r="17" spans="1:6" x14ac:dyDescent="0.3">
      <c r="C17" s="40"/>
      <c r="D17" s="134"/>
      <c r="E17" s="142"/>
      <c r="F17" s="142"/>
    </row>
    <row r="18" spans="1:6" x14ac:dyDescent="0.3">
      <c r="A18" s="203"/>
      <c r="C18" s="44"/>
      <c r="D18" s="134"/>
      <c r="E18" s="134"/>
      <c r="F18" s="134"/>
    </row>
    <row r="19" spans="1:6" x14ac:dyDescent="0.3">
      <c r="A19" s="204"/>
      <c r="C19" s="40"/>
      <c r="D19" s="134"/>
      <c r="E19" s="134"/>
      <c r="F19" s="134"/>
    </row>
    <row r="20" spans="1:6" x14ac:dyDescent="0.3">
      <c r="C20" s="44"/>
      <c r="D20" s="134"/>
      <c r="E20" s="134"/>
      <c r="F20" s="134"/>
    </row>
    <row r="21" spans="1:6" x14ac:dyDescent="0.3">
      <c r="C21" s="40"/>
      <c r="D21" s="134"/>
      <c r="E21" s="134"/>
      <c r="F21" s="141"/>
    </row>
    <row r="22" spans="1:6" x14ac:dyDescent="0.3">
      <c r="C22" s="40"/>
      <c r="D22" s="134"/>
      <c r="E22" s="134"/>
      <c r="F22" s="141"/>
    </row>
    <row r="23" spans="1:6" x14ac:dyDescent="0.3">
      <c r="A23" s="203"/>
      <c r="C23" s="40"/>
      <c r="D23" s="134"/>
      <c r="E23" s="134"/>
      <c r="F23" s="141"/>
    </row>
    <row r="24" spans="1:6" x14ac:dyDescent="0.3">
      <c r="A24" s="205"/>
      <c r="C24" s="40"/>
      <c r="D24" s="134"/>
      <c r="E24" s="134"/>
      <c r="F24" s="134"/>
    </row>
    <row r="25" spans="1:6" x14ac:dyDescent="0.3">
      <c r="A25" s="204"/>
      <c r="C25" s="40"/>
      <c r="D25" s="134"/>
      <c r="E25" s="134"/>
      <c r="F25" s="134"/>
    </row>
    <row r="26" spans="1:6" x14ac:dyDescent="0.3">
      <c r="A26" s="206"/>
      <c r="C26" s="40"/>
      <c r="D26" s="134"/>
      <c r="E26" s="134"/>
      <c r="F26" s="134"/>
    </row>
    <row r="27" spans="1:6" x14ac:dyDescent="0.3">
      <c r="A27" s="207"/>
      <c r="C27" s="40"/>
      <c r="D27" s="134"/>
      <c r="E27" s="134"/>
      <c r="F27" s="134"/>
    </row>
    <row r="28" spans="1:6" x14ac:dyDescent="0.3">
      <c r="C28" s="40"/>
      <c r="D28" s="134"/>
      <c r="E28" s="134"/>
      <c r="F28" s="134"/>
    </row>
    <row r="29" spans="1:6" x14ac:dyDescent="0.3">
      <c r="C29" s="40"/>
      <c r="D29" s="134"/>
      <c r="E29" s="134"/>
      <c r="F29" s="141"/>
    </row>
    <row r="30" spans="1:6" x14ac:dyDescent="0.3">
      <c r="C30" s="40"/>
      <c r="D30" s="134"/>
      <c r="E30" s="134"/>
      <c r="F30" s="141"/>
    </row>
    <row r="31" spans="1:6" x14ac:dyDescent="0.3">
      <c r="A31" s="203"/>
      <c r="C31" s="40"/>
      <c r="D31" s="134"/>
      <c r="E31" s="134"/>
      <c r="F31" s="99"/>
    </row>
    <row r="32" spans="1:6" x14ac:dyDescent="0.3">
      <c r="A32" s="204"/>
      <c r="C32" s="40"/>
      <c r="D32" s="134"/>
      <c r="E32" s="134"/>
      <c r="F32" s="99"/>
    </row>
    <row r="33" spans="1:6" x14ac:dyDescent="0.3">
      <c r="C33" s="40"/>
      <c r="D33" s="134"/>
      <c r="E33" s="134"/>
      <c r="F33" s="99"/>
    </row>
    <row r="34" spans="1:6" x14ac:dyDescent="0.3">
      <c r="A34" s="42"/>
      <c r="C34" s="40"/>
      <c r="D34" s="134"/>
      <c r="E34" s="134"/>
      <c r="F34" s="99"/>
    </row>
  </sheetData>
  <mergeCells count="4">
    <mergeCell ref="L2:N2"/>
    <mergeCell ref="R3:T3"/>
    <mergeCell ref="J2:J3"/>
    <mergeCell ref="J1:N1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0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4311-C049-4EE1-8920-4E23A6E138FC}">
  <sheetPr>
    <pageSetUpPr fitToPage="1"/>
  </sheetPr>
  <dimension ref="A1:T40"/>
  <sheetViews>
    <sheetView zoomScaleNormal="100" zoomScaleSheetLayoutView="100" workbookViewId="0">
      <pane ySplit="1" topLeftCell="A2" activePane="bottomLeft" state="frozen"/>
      <selection activeCell="J2" sqref="J2:N2"/>
      <selection pane="bottomLeft" activeCell="J2" sqref="J2:J3"/>
    </sheetView>
  </sheetViews>
  <sheetFormatPr defaultRowHeight="16.5" x14ac:dyDescent="0.3"/>
  <cols>
    <col min="1" max="1" width="17.875" style="58" customWidth="1"/>
    <col min="2" max="2" width="6.25" style="62" customWidth="1"/>
    <col min="3" max="3" width="31" style="42" customWidth="1"/>
    <col min="4" max="4" width="9" style="57"/>
    <col min="5" max="5" width="14.625" style="57" customWidth="1"/>
    <col min="6" max="6" width="14.75" style="102" customWidth="1"/>
    <col min="7" max="7" width="5.875" style="85" customWidth="1"/>
    <col min="8" max="9" width="5.875" customWidth="1"/>
    <col min="10" max="10" width="12.5" customWidth="1"/>
    <col min="11" max="11" width="14.875" customWidth="1"/>
    <col min="12" max="14" width="22.375" customWidth="1"/>
    <col min="18" max="18" width="9.875" bestFit="1" customWidth="1"/>
  </cols>
  <sheetData>
    <row r="1" spans="1:20" ht="39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J1" s="200" t="s">
        <v>85</v>
      </c>
      <c r="K1" s="200"/>
      <c r="L1" s="200"/>
      <c r="M1" s="200"/>
      <c r="N1" s="200"/>
    </row>
    <row r="2" spans="1:20" ht="17.25" thickBot="1" x14ac:dyDescent="0.35">
      <c r="A2" s="203"/>
      <c r="C2" s="40"/>
      <c r="D2" s="134"/>
      <c r="E2" s="141"/>
      <c r="F2" s="134"/>
      <c r="J2" s="198"/>
      <c r="K2" s="2"/>
      <c r="L2" s="196" t="s">
        <v>73</v>
      </c>
      <c r="M2" s="196"/>
      <c r="N2" s="196"/>
    </row>
    <row r="3" spans="1:20" ht="17.25" thickBot="1" x14ac:dyDescent="0.35">
      <c r="A3" s="205"/>
      <c r="C3" s="40"/>
      <c r="D3" s="134"/>
      <c r="E3" s="141"/>
      <c r="F3" s="134"/>
      <c r="J3" s="199"/>
      <c r="K3" s="3"/>
      <c r="L3" s="2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205"/>
      <c r="C4" s="40"/>
      <c r="D4" s="141"/>
      <c r="E4" s="141"/>
      <c r="F4" s="134"/>
      <c r="J4" s="87" t="s">
        <v>54</v>
      </c>
      <c r="K4" s="2" t="s">
        <v>20</v>
      </c>
      <c r="L4" s="104" cm="1">
        <f t="array" ref="L4">SUM(IF(B:B="a",D:D))</f>
        <v>0</v>
      </c>
      <c r="M4" s="105" cm="1">
        <f t="array" ref="M4">SUM(IF(B:B="a",E:E))</f>
        <v>0</v>
      </c>
      <c r="N4" s="106" cm="1">
        <f t="array" ref="N4">SUM(IF(B:B="a",F:F))</f>
        <v>0</v>
      </c>
    </row>
    <row r="5" spans="1:20" ht="17.25" thickBot="1" x14ac:dyDescent="0.35">
      <c r="A5" s="204"/>
      <c r="C5" s="40"/>
      <c r="D5" s="134"/>
      <c r="E5" s="141"/>
      <c r="F5" s="134"/>
      <c r="J5" s="87" t="s">
        <v>49</v>
      </c>
      <c r="K5" s="2" t="s">
        <v>24</v>
      </c>
      <c r="L5" s="107" cm="1">
        <f t="array" ref="L5">SUM(IF(B:B="b",D:D))</f>
        <v>0</v>
      </c>
      <c r="M5" s="57" cm="1">
        <f t="array" ref="M5">SUM(IF(B:B="b",E:E))</f>
        <v>0</v>
      </c>
      <c r="N5" s="108" cm="1">
        <f t="array" ref="N5">SUM(IF(B:B="b",F:F))</f>
        <v>0</v>
      </c>
    </row>
    <row r="6" spans="1:20" ht="17.25" thickBot="1" x14ac:dyDescent="0.35">
      <c r="A6" s="203"/>
      <c r="C6" s="40"/>
      <c r="D6" s="134"/>
      <c r="E6" s="134"/>
      <c r="F6" s="134"/>
      <c r="J6" s="87" t="s">
        <v>51</v>
      </c>
      <c r="K6" s="2" t="s">
        <v>56</v>
      </c>
      <c r="L6" s="107" cm="1">
        <f t="array" ref="L6">SUM(IF(B:B="c",D:D))</f>
        <v>0</v>
      </c>
      <c r="M6" s="57" cm="1">
        <f t="array" ref="M6">SUM(IF(B:B="c",E:E))</f>
        <v>0</v>
      </c>
      <c r="N6" s="108" cm="1">
        <f t="array" ref="N6">SUM(IF(B:B="c",F:F))</f>
        <v>0</v>
      </c>
    </row>
    <row r="7" spans="1:20" ht="17.25" thickBot="1" x14ac:dyDescent="0.35">
      <c r="A7" s="204"/>
      <c r="C7" s="40"/>
      <c r="D7" s="134"/>
      <c r="E7" s="134"/>
      <c r="F7" s="134"/>
      <c r="J7" s="87" t="s">
        <v>57</v>
      </c>
      <c r="K7" s="2" t="s">
        <v>58</v>
      </c>
      <c r="L7" s="107" cm="1">
        <f t="array" ref="L7">SUM(IF(B:B="d",D:D))</f>
        <v>0</v>
      </c>
      <c r="M7" s="57" cm="1">
        <f t="array" ref="M7">SUM(IF(B:B="d",E:E))</f>
        <v>0</v>
      </c>
      <c r="N7" s="108" cm="1">
        <f t="array" ref="N7">SUM(IF(B:B="d",F:F))</f>
        <v>0</v>
      </c>
    </row>
    <row r="8" spans="1:20" ht="17.25" thickBot="1" x14ac:dyDescent="0.35">
      <c r="A8" s="203"/>
      <c r="C8" s="40"/>
      <c r="D8" s="134"/>
      <c r="E8" s="134"/>
      <c r="F8" s="134"/>
      <c r="J8" s="87" t="s">
        <v>55</v>
      </c>
      <c r="K8" s="2" t="s">
        <v>59</v>
      </c>
      <c r="L8" s="107" cm="1">
        <f t="array" ref="L8">SUM(IF(B:B="e",D:D))</f>
        <v>0</v>
      </c>
      <c r="M8" s="57" cm="1">
        <f t="array" ref="M8">SUM(IF(B:B="e",E:E))</f>
        <v>0</v>
      </c>
      <c r="N8" s="108" cm="1">
        <f t="array" ref="N8">SUM(IF(B:B="e",F:F))</f>
        <v>0</v>
      </c>
    </row>
    <row r="9" spans="1:20" ht="17.25" thickBot="1" x14ac:dyDescent="0.35">
      <c r="A9" s="205"/>
      <c r="C9" s="40"/>
      <c r="D9" s="134"/>
      <c r="E9" s="134"/>
      <c r="F9" s="134"/>
      <c r="J9" s="87" t="s">
        <v>60</v>
      </c>
      <c r="K9" s="2" t="s">
        <v>61</v>
      </c>
      <c r="L9" s="107" cm="1">
        <f t="array" ref="L9">SUM(IF(B:B="f",D:D))</f>
        <v>0</v>
      </c>
      <c r="M9" s="57" cm="1">
        <f t="array" ref="M9">SUM(IF(B:B="f",E:E))</f>
        <v>0</v>
      </c>
      <c r="N9" s="108" cm="1">
        <f t="array" ref="N9">SUM(IF(B:B="f",F:F))</f>
        <v>0</v>
      </c>
    </row>
    <row r="10" spans="1:20" ht="17.25" thickBot="1" x14ac:dyDescent="0.35">
      <c r="A10" s="205"/>
      <c r="C10" s="40"/>
      <c r="D10" s="141"/>
      <c r="E10" s="141"/>
      <c r="F10" s="141"/>
      <c r="J10" s="87" t="s">
        <v>62</v>
      </c>
      <c r="K10" s="2" t="s">
        <v>31</v>
      </c>
      <c r="L10" s="107" cm="1">
        <f t="array" ref="L10">SUM(IF(B:B="g",D:D))</f>
        <v>0</v>
      </c>
      <c r="M10" s="57" cm="1">
        <f t="array" ref="M10">SUM(IF(B:B="g",E:E))</f>
        <v>0</v>
      </c>
      <c r="N10" s="108" cm="1">
        <f t="array" ref="N10">SUM(IF(B:B="g",F:F))</f>
        <v>0</v>
      </c>
    </row>
    <row r="11" spans="1:20" ht="17.25" thickBot="1" x14ac:dyDescent="0.35">
      <c r="A11" s="205"/>
      <c r="C11" s="40"/>
      <c r="D11" s="141"/>
      <c r="E11" s="141"/>
      <c r="F11" s="141"/>
      <c r="J11" s="87" t="s">
        <v>63</v>
      </c>
      <c r="K11" s="2" t="s">
        <v>32</v>
      </c>
      <c r="L11" s="107" cm="1">
        <f t="array" ref="L11">SUM(IF(B:B="h",D:D))</f>
        <v>0</v>
      </c>
      <c r="M11" s="57" cm="1">
        <f t="array" ref="M11">SUM(IF(B:B="h",E:E))</f>
        <v>0</v>
      </c>
      <c r="N11" s="108" cm="1">
        <f t="array" ref="N11">SUM(IF(B:B="h",F:F))</f>
        <v>0</v>
      </c>
    </row>
    <row r="12" spans="1:20" ht="17.25" thickBot="1" x14ac:dyDescent="0.35">
      <c r="A12" s="204"/>
      <c r="C12" s="40"/>
      <c r="D12" s="141"/>
      <c r="E12" s="141"/>
      <c r="F12" s="141"/>
      <c r="J12" s="87"/>
      <c r="K12" s="2"/>
      <c r="L12" s="107"/>
      <c r="M12" s="57"/>
      <c r="N12" s="108"/>
    </row>
    <row r="13" spans="1:20" ht="17.25" thickBot="1" x14ac:dyDescent="0.35">
      <c r="A13" s="203"/>
      <c r="C13" s="40"/>
      <c r="D13" s="134"/>
      <c r="E13" s="134"/>
      <c r="F13" s="134"/>
      <c r="J13" s="87"/>
      <c r="K13" s="94"/>
      <c r="L13" s="124"/>
      <c r="M13" s="125"/>
      <c r="N13" s="126"/>
    </row>
    <row r="14" spans="1:20" ht="17.25" thickBot="1" x14ac:dyDescent="0.35">
      <c r="A14" s="204"/>
      <c r="C14" s="40"/>
      <c r="D14" s="134"/>
      <c r="E14" s="134"/>
      <c r="F14" s="134"/>
      <c r="J14" s="88"/>
      <c r="K14" s="2" t="s">
        <v>4</v>
      </c>
      <c r="L14" s="127">
        <f>SUM(L4:L13)</f>
        <v>0</v>
      </c>
      <c r="M14" s="128">
        <f>SUM(M4:M13)</f>
        <v>0</v>
      </c>
      <c r="N14" s="129">
        <f>SUM(N4:N13)</f>
        <v>0</v>
      </c>
    </row>
    <row r="15" spans="1:20" x14ac:dyDescent="0.3">
      <c r="C15" s="40"/>
      <c r="D15" s="134"/>
      <c r="E15" s="134"/>
      <c r="F15" s="134"/>
    </row>
    <row r="16" spans="1:20" x14ac:dyDescent="0.3">
      <c r="C16" s="40"/>
      <c r="D16" s="134"/>
      <c r="E16" s="134"/>
      <c r="F16" s="134"/>
    </row>
    <row r="17" spans="1:6" x14ac:dyDescent="0.3">
      <c r="A17" s="203"/>
      <c r="C17" s="44"/>
      <c r="D17" s="134"/>
      <c r="E17" s="134"/>
      <c r="F17" s="134"/>
    </row>
    <row r="18" spans="1:6" x14ac:dyDescent="0.3">
      <c r="A18" s="204"/>
      <c r="C18" s="44"/>
      <c r="D18" s="134"/>
      <c r="E18" s="134"/>
      <c r="F18" s="134"/>
    </row>
    <row r="19" spans="1:6" x14ac:dyDescent="0.3">
      <c r="C19" s="44"/>
      <c r="D19" s="134"/>
      <c r="E19" s="134"/>
      <c r="F19" s="134"/>
    </row>
    <row r="20" spans="1:6" x14ac:dyDescent="0.3">
      <c r="C20" s="44"/>
      <c r="D20" s="134"/>
      <c r="E20" s="134"/>
      <c r="F20" s="134"/>
    </row>
    <row r="21" spans="1:6" x14ac:dyDescent="0.3">
      <c r="C21" s="40"/>
      <c r="D21" s="134"/>
      <c r="E21" s="134"/>
      <c r="F21" s="134"/>
    </row>
    <row r="22" spans="1:6" x14ac:dyDescent="0.3">
      <c r="A22" s="203"/>
      <c r="C22" s="40"/>
      <c r="D22" s="134"/>
      <c r="E22" s="134"/>
      <c r="F22" s="141"/>
    </row>
    <row r="23" spans="1:6" x14ac:dyDescent="0.3">
      <c r="A23" s="204"/>
      <c r="C23" s="40"/>
      <c r="D23" s="134"/>
      <c r="E23" s="134"/>
      <c r="F23" s="141"/>
    </row>
    <row r="24" spans="1:6" x14ac:dyDescent="0.3">
      <c r="C24" s="40"/>
      <c r="D24" s="134"/>
      <c r="E24" s="134"/>
      <c r="F24" s="134"/>
    </row>
    <row r="25" spans="1:6" x14ac:dyDescent="0.3">
      <c r="A25" s="203"/>
      <c r="C25" s="40"/>
      <c r="D25" s="165"/>
      <c r="E25" s="134"/>
      <c r="F25" s="134"/>
    </row>
    <row r="26" spans="1:6" x14ac:dyDescent="0.3">
      <c r="A26" s="204"/>
      <c r="C26" s="40"/>
      <c r="D26" s="165"/>
      <c r="E26" s="134"/>
      <c r="F26" s="134"/>
    </row>
    <row r="27" spans="1:6" x14ac:dyDescent="0.3">
      <c r="C27" s="40"/>
      <c r="D27" s="134"/>
      <c r="E27" s="134"/>
      <c r="F27" s="134"/>
    </row>
    <row r="28" spans="1:6" x14ac:dyDescent="0.3">
      <c r="C28" s="40"/>
      <c r="D28" s="134"/>
      <c r="E28" s="134"/>
      <c r="F28" s="141"/>
    </row>
    <row r="29" spans="1:6" x14ac:dyDescent="0.3">
      <c r="C29" s="40"/>
      <c r="D29" s="134"/>
      <c r="E29" s="134"/>
      <c r="F29" s="141"/>
    </row>
    <row r="30" spans="1:6" x14ac:dyDescent="0.3">
      <c r="C30" s="40"/>
      <c r="D30" s="134"/>
      <c r="E30" s="134"/>
      <c r="F30" s="134"/>
    </row>
    <row r="31" spans="1:6" x14ac:dyDescent="0.3">
      <c r="C31" s="40"/>
      <c r="D31" s="134"/>
      <c r="E31" s="134"/>
      <c r="F31" s="134"/>
    </row>
    <row r="32" spans="1:6" x14ac:dyDescent="0.3">
      <c r="C32" s="40"/>
      <c r="D32" s="134"/>
      <c r="E32" s="134"/>
      <c r="F32" s="134"/>
    </row>
    <row r="33" spans="3:6" x14ac:dyDescent="0.3">
      <c r="C33" s="40"/>
      <c r="D33" s="134"/>
      <c r="E33" s="134"/>
      <c r="F33" s="134"/>
    </row>
    <row r="34" spans="3:6" x14ac:dyDescent="0.3">
      <c r="C34" s="40"/>
      <c r="D34" s="134"/>
      <c r="E34" s="134"/>
      <c r="F34" s="141"/>
    </row>
    <row r="35" spans="3:6" x14ac:dyDescent="0.3">
      <c r="C35" s="40"/>
      <c r="D35" s="134"/>
      <c r="E35" s="134"/>
      <c r="F35" s="134"/>
    </row>
    <row r="36" spans="3:6" x14ac:dyDescent="0.3">
      <c r="C36" s="40"/>
      <c r="D36" s="134"/>
      <c r="E36" s="134"/>
      <c r="F36" s="134"/>
    </row>
    <row r="37" spans="3:6" x14ac:dyDescent="0.3">
      <c r="C37" s="40"/>
      <c r="D37" s="134"/>
      <c r="E37" s="134"/>
      <c r="F37" s="141"/>
    </row>
    <row r="38" spans="3:6" x14ac:dyDescent="0.3">
      <c r="C38" s="40"/>
      <c r="D38" s="134"/>
      <c r="E38" s="134"/>
      <c r="F38" s="141"/>
    </row>
    <row r="39" spans="3:6" x14ac:dyDescent="0.3">
      <c r="C39" s="40"/>
      <c r="D39" s="134"/>
      <c r="E39" s="134"/>
      <c r="F39" s="141"/>
    </row>
    <row r="40" spans="3:6" x14ac:dyDescent="0.3">
      <c r="C40" s="40"/>
      <c r="D40" s="134"/>
      <c r="E40" s="134"/>
      <c r="F40" s="141"/>
    </row>
  </sheetData>
  <mergeCells count="4">
    <mergeCell ref="R3:T3"/>
    <mergeCell ref="J2:J3"/>
    <mergeCell ref="J1:N1"/>
    <mergeCell ref="L2:N2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0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BA78-957E-4925-851A-73F4191D0366}">
  <sheetPr>
    <pageSetUpPr fitToPage="1"/>
  </sheetPr>
  <dimension ref="A1:T37"/>
  <sheetViews>
    <sheetView zoomScaleNormal="100" zoomScaleSheetLayoutView="100" workbookViewId="0">
      <pane ySplit="1" topLeftCell="A2" activePane="bottomLeft" state="frozen"/>
      <selection pane="bottomLeft" activeCell="J2" sqref="J2:J3"/>
    </sheetView>
  </sheetViews>
  <sheetFormatPr defaultRowHeight="16.5" x14ac:dyDescent="0.3"/>
  <cols>
    <col min="1" max="1" width="16.875" style="58" customWidth="1"/>
    <col min="2" max="2" width="5.5" style="62" customWidth="1"/>
    <col min="3" max="3" width="47.5" style="42" customWidth="1"/>
    <col min="4" max="4" width="9.375" style="57" bestFit="1" customWidth="1"/>
    <col min="5" max="5" width="15.875" style="57" customWidth="1"/>
    <col min="6" max="6" width="16" style="102" customWidth="1"/>
    <col min="7" max="7" width="5.25" style="85" customWidth="1"/>
    <col min="8" max="9" width="5.25" customWidth="1"/>
    <col min="10" max="10" width="12.5" customWidth="1"/>
    <col min="11" max="11" width="14.875" customWidth="1"/>
    <col min="12" max="14" width="20.875" customWidth="1"/>
    <col min="18" max="18" width="9.875" bestFit="1" customWidth="1"/>
  </cols>
  <sheetData>
    <row r="1" spans="1:20" s="56" customFormat="1" ht="37.5" customHeight="1" thickBot="1" x14ac:dyDescent="0.35">
      <c r="A1" s="59" t="s">
        <v>45</v>
      </c>
      <c r="B1" s="60" t="s">
        <v>46</v>
      </c>
      <c r="C1" s="59" t="s">
        <v>47</v>
      </c>
      <c r="D1" s="61" t="s">
        <v>48</v>
      </c>
      <c r="E1" s="61" t="s">
        <v>22</v>
      </c>
      <c r="F1" s="101" t="s">
        <v>23</v>
      </c>
      <c r="G1" s="103"/>
      <c r="J1" s="200" t="s">
        <v>86</v>
      </c>
      <c r="K1" s="200"/>
      <c r="L1" s="200"/>
      <c r="M1" s="200"/>
      <c r="N1" s="200"/>
    </row>
    <row r="2" spans="1:20" ht="17.25" thickBot="1" x14ac:dyDescent="0.35">
      <c r="A2" s="159"/>
      <c r="B2" s="159"/>
      <c r="C2" s="159"/>
      <c r="D2" s="160"/>
      <c r="E2" s="160"/>
      <c r="F2" s="160"/>
      <c r="J2" s="198"/>
      <c r="K2" s="2"/>
      <c r="L2" s="196" t="s">
        <v>74</v>
      </c>
      <c r="M2" s="196"/>
      <c r="N2" s="196"/>
    </row>
    <row r="3" spans="1:20" ht="17.25" thickBot="1" x14ac:dyDescent="0.35">
      <c r="A3" s="159"/>
      <c r="B3" s="159"/>
      <c r="C3" s="159"/>
      <c r="D3" s="160"/>
      <c r="E3" s="160"/>
      <c r="F3" s="160"/>
      <c r="J3" s="199"/>
      <c r="K3" s="3"/>
      <c r="L3" s="2" t="s">
        <v>52</v>
      </c>
      <c r="M3" s="2" t="s">
        <v>33</v>
      </c>
      <c r="N3" s="2" t="s">
        <v>53</v>
      </c>
      <c r="R3" s="197"/>
      <c r="S3" s="197"/>
      <c r="T3" s="197"/>
    </row>
    <row r="4" spans="1:20" ht="17.25" thickBot="1" x14ac:dyDescent="0.35">
      <c r="A4" s="159"/>
      <c r="B4" s="159"/>
      <c r="C4" s="159"/>
      <c r="D4" s="160"/>
      <c r="E4" s="160"/>
      <c r="F4" s="160"/>
      <c r="J4" s="87" t="s">
        <v>54</v>
      </c>
      <c r="K4" s="2" t="s">
        <v>20</v>
      </c>
      <c r="L4" s="104" cm="1">
        <f t="array" ref="L4">SUM(IF(B:B="a",D:D))</f>
        <v>0</v>
      </c>
      <c r="M4" s="105" cm="1">
        <f t="array" ref="M4">SUM(IF(B:B="a",E:E))</f>
        <v>0</v>
      </c>
      <c r="N4" s="106" cm="1">
        <f t="array" ref="N4">SUM(IF(B:B="a",F:F))</f>
        <v>0</v>
      </c>
    </row>
    <row r="5" spans="1:20" ht="17.25" thickBot="1" x14ac:dyDescent="0.35">
      <c r="A5" s="159"/>
      <c r="B5" s="159"/>
      <c r="C5" s="159"/>
      <c r="D5" s="160"/>
      <c r="E5" s="160"/>
      <c r="F5" s="160"/>
      <c r="J5" s="87" t="s">
        <v>49</v>
      </c>
      <c r="K5" s="2" t="s">
        <v>24</v>
      </c>
      <c r="L5" s="107" cm="1">
        <f t="array" ref="L5">SUM(IF(B:B="b",D:D))</f>
        <v>0</v>
      </c>
      <c r="M5" s="57" cm="1">
        <f t="array" ref="M5">SUM(IF(B:B="b",E:E))</f>
        <v>0</v>
      </c>
      <c r="N5" s="108" cm="1">
        <f t="array" ref="N5">SUM(IF(B:B="b",F:F))</f>
        <v>0</v>
      </c>
    </row>
    <row r="6" spans="1:20" ht="17.25" thickBot="1" x14ac:dyDescent="0.35">
      <c r="A6" s="159"/>
      <c r="B6" s="159"/>
      <c r="C6" s="159"/>
      <c r="D6" s="160"/>
      <c r="E6" s="160"/>
      <c r="F6" s="160"/>
      <c r="J6" s="87" t="s">
        <v>51</v>
      </c>
      <c r="K6" s="2" t="s">
        <v>56</v>
      </c>
      <c r="L6" s="107" cm="1">
        <f t="array" ref="L6">SUM(IF(B:B="c",D:D))</f>
        <v>0</v>
      </c>
      <c r="M6" s="57" cm="1">
        <f t="array" ref="M6">SUM(IF(B:B="c",E:E))</f>
        <v>0</v>
      </c>
      <c r="N6" s="108" cm="1">
        <f t="array" ref="N6">SUM(IF(B:B="c",F:F))</f>
        <v>0</v>
      </c>
    </row>
    <row r="7" spans="1:20" ht="17.25" thickBot="1" x14ac:dyDescent="0.35">
      <c r="A7" s="159"/>
      <c r="B7" s="159"/>
      <c r="C7" s="159"/>
      <c r="D7" s="160"/>
      <c r="E7" s="160"/>
      <c r="F7" s="160"/>
      <c r="J7" s="87" t="s">
        <v>57</v>
      </c>
      <c r="K7" s="2" t="s">
        <v>58</v>
      </c>
      <c r="L7" s="107" cm="1">
        <f t="array" ref="L7">SUM(IF(B:B="d",D:D))</f>
        <v>0</v>
      </c>
      <c r="M7" s="57" cm="1">
        <f t="array" ref="M7">SUM(IF(B:B="d",E:E))</f>
        <v>0</v>
      </c>
      <c r="N7" s="108" cm="1">
        <f t="array" ref="N7">SUM(IF(B:B="d",F:F))</f>
        <v>0</v>
      </c>
    </row>
    <row r="8" spans="1:20" ht="17.25" thickBot="1" x14ac:dyDescent="0.35">
      <c r="A8" s="159"/>
      <c r="B8" s="159"/>
      <c r="C8" s="159"/>
      <c r="D8" s="160"/>
      <c r="E8" s="160"/>
      <c r="F8" s="160"/>
      <c r="J8" s="87" t="s">
        <v>55</v>
      </c>
      <c r="K8" s="2" t="s">
        <v>59</v>
      </c>
      <c r="L8" s="107" cm="1">
        <f t="array" ref="L8">SUM(IF(B:B="e",D:D))</f>
        <v>0</v>
      </c>
      <c r="M8" s="57" cm="1">
        <f t="array" ref="M8">SUM(IF(B:B="e",E:E))</f>
        <v>0</v>
      </c>
      <c r="N8" s="108" cm="1">
        <f t="array" ref="N8">SUM(IF(B:B="e",F:F))</f>
        <v>0</v>
      </c>
    </row>
    <row r="9" spans="1:20" ht="17.25" thickBot="1" x14ac:dyDescent="0.35">
      <c r="A9" s="159"/>
      <c r="B9" s="159"/>
      <c r="C9" s="159"/>
      <c r="D9" s="160"/>
      <c r="E9" s="160"/>
      <c r="F9" s="160"/>
      <c r="J9" s="87" t="s">
        <v>60</v>
      </c>
      <c r="K9" s="2" t="s">
        <v>61</v>
      </c>
      <c r="L9" s="107" cm="1">
        <f t="array" ref="L9">SUM(IF(B:B="f",D:D))</f>
        <v>0</v>
      </c>
      <c r="M9" s="57" cm="1">
        <f t="array" ref="M9">SUM(IF(B:B="f",E:E))</f>
        <v>0</v>
      </c>
      <c r="N9" s="108" cm="1">
        <f t="array" ref="N9">SUM(IF(B:B="f",F:F))</f>
        <v>0</v>
      </c>
    </row>
    <row r="10" spans="1:20" ht="17.25" thickBot="1" x14ac:dyDescent="0.35">
      <c r="A10" s="159"/>
      <c r="B10" s="159"/>
      <c r="C10" s="161"/>
      <c r="D10" s="160"/>
      <c r="E10" s="160"/>
      <c r="F10" s="160"/>
      <c r="J10" s="87" t="s">
        <v>62</v>
      </c>
      <c r="K10" s="2" t="s">
        <v>31</v>
      </c>
      <c r="L10" s="107" cm="1">
        <f t="array" ref="L10">SUM(IF(B:B="g",D:D))</f>
        <v>0</v>
      </c>
      <c r="M10" s="57" cm="1">
        <f t="array" ref="M10">SUM(IF(B:B="g",E:E))</f>
        <v>0</v>
      </c>
      <c r="N10" s="108" cm="1">
        <f t="array" ref="N10">SUM(IF(B:B="g",F:F))</f>
        <v>0</v>
      </c>
    </row>
    <row r="11" spans="1:20" ht="17.25" thickBot="1" x14ac:dyDescent="0.35">
      <c r="A11" s="159"/>
      <c r="B11" s="159"/>
      <c r="C11" s="161"/>
      <c r="D11" s="160"/>
      <c r="E11" s="160"/>
      <c r="F11" s="160"/>
      <c r="J11" s="87" t="s">
        <v>63</v>
      </c>
      <c r="K11" s="2" t="s">
        <v>32</v>
      </c>
      <c r="L11" s="107" cm="1">
        <f t="array" ref="L11">SUM(IF(B:B="h",D:D))</f>
        <v>0</v>
      </c>
      <c r="M11" s="57" cm="1">
        <f t="array" ref="M11">SUM(IF(B:B="h",E:E))</f>
        <v>0</v>
      </c>
      <c r="N11" s="108" cm="1">
        <f t="array" ref="N11">SUM(IF(B:B="h",F:F))</f>
        <v>0</v>
      </c>
    </row>
    <row r="12" spans="1:20" ht="17.25" thickBot="1" x14ac:dyDescent="0.35">
      <c r="A12" s="159"/>
      <c r="B12" s="159"/>
      <c r="C12" s="161"/>
      <c r="D12" s="160"/>
      <c r="E12" s="160"/>
      <c r="F12" s="160"/>
      <c r="J12" s="87"/>
      <c r="K12" s="2"/>
      <c r="L12" s="107"/>
      <c r="M12" s="57"/>
      <c r="N12" s="108"/>
    </row>
    <row r="13" spans="1:20" ht="17.25" thickBot="1" x14ac:dyDescent="0.35">
      <c r="A13" s="159"/>
      <c r="B13" s="159"/>
      <c r="C13" s="161"/>
      <c r="D13" s="160"/>
      <c r="E13" s="160"/>
      <c r="F13" s="160"/>
      <c r="J13" s="87"/>
      <c r="K13" s="2"/>
      <c r="L13" s="109"/>
      <c r="M13" s="110"/>
      <c r="N13" s="111"/>
    </row>
    <row r="14" spans="1:20" ht="17.25" thickBot="1" x14ac:dyDescent="0.35">
      <c r="A14" s="159"/>
      <c r="B14" s="159"/>
      <c r="C14" s="161"/>
      <c r="D14" s="160"/>
      <c r="E14" s="160"/>
      <c r="F14" s="160"/>
      <c r="J14" s="88"/>
      <c r="K14" s="2" t="s">
        <v>4</v>
      </c>
      <c r="L14" s="163">
        <f>SUM(L4:L13)</f>
        <v>0</v>
      </c>
      <c r="M14" s="128">
        <f>SUM(M4:M13)</f>
        <v>0</v>
      </c>
      <c r="N14" s="112">
        <f>SUM(N4:N13)</f>
        <v>0</v>
      </c>
    </row>
    <row r="15" spans="1:20" x14ac:dyDescent="0.3">
      <c r="A15" s="159"/>
      <c r="B15" s="159"/>
      <c r="C15" s="159"/>
      <c r="D15" s="160"/>
      <c r="E15" s="160"/>
      <c r="F15" s="160"/>
    </row>
    <row r="16" spans="1:20" x14ac:dyDescent="0.3">
      <c r="A16" s="159"/>
      <c r="B16" s="159"/>
      <c r="C16" s="159"/>
      <c r="D16" s="160"/>
      <c r="E16" s="160"/>
      <c r="F16" s="160"/>
    </row>
    <row r="17" spans="1:6" x14ac:dyDescent="0.3">
      <c r="A17" s="159"/>
      <c r="B17" s="159"/>
      <c r="C17" s="159"/>
      <c r="D17" s="160"/>
      <c r="E17" s="160"/>
      <c r="F17" s="162"/>
    </row>
    <row r="18" spans="1:6" x14ac:dyDescent="0.3">
      <c r="A18" s="159"/>
      <c r="B18" s="159"/>
      <c r="C18" s="159"/>
      <c r="D18" s="160"/>
      <c r="E18" s="160"/>
      <c r="F18" s="160"/>
    </row>
    <row r="19" spans="1:6" x14ac:dyDescent="0.3">
      <c r="A19" s="159"/>
      <c r="B19" s="159"/>
      <c r="C19" s="159"/>
      <c r="D19" s="160"/>
      <c r="E19" s="160"/>
      <c r="F19" s="160"/>
    </row>
    <row r="20" spans="1:6" x14ac:dyDescent="0.3">
      <c r="A20" s="159"/>
      <c r="B20" s="159"/>
      <c r="C20" s="159"/>
      <c r="D20" s="160"/>
      <c r="E20" s="160"/>
      <c r="F20" s="160"/>
    </row>
    <row r="21" spans="1:6" x14ac:dyDescent="0.3">
      <c r="A21" s="159"/>
      <c r="B21" s="159"/>
      <c r="C21" s="159"/>
      <c r="D21" s="160"/>
      <c r="E21" s="160"/>
      <c r="F21" s="160"/>
    </row>
    <row r="22" spans="1:6" x14ac:dyDescent="0.3">
      <c r="A22" s="159"/>
      <c r="B22" s="159"/>
      <c r="C22" s="161"/>
      <c r="D22" s="160"/>
      <c r="E22" s="160"/>
      <c r="F22" s="160"/>
    </row>
    <row r="23" spans="1:6" x14ac:dyDescent="0.3">
      <c r="A23" s="159"/>
      <c r="B23" s="159"/>
      <c r="C23" s="161"/>
      <c r="D23" s="160"/>
      <c r="E23" s="160"/>
      <c r="F23" s="160"/>
    </row>
    <row r="24" spans="1:6" x14ac:dyDescent="0.3">
      <c r="A24" s="159"/>
      <c r="B24" s="159"/>
      <c r="C24" s="159"/>
      <c r="D24" s="160"/>
      <c r="E24" s="160"/>
      <c r="F24" s="160"/>
    </row>
    <row r="25" spans="1:6" x14ac:dyDescent="0.3">
      <c r="A25" s="159"/>
      <c r="B25" s="159"/>
      <c r="C25" s="161"/>
      <c r="D25" s="160"/>
      <c r="E25" s="160"/>
      <c r="F25" s="160"/>
    </row>
    <row r="26" spans="1:6" x14ac:dyDescent="0.3">
      <c r="A26" s="159"/>
      <c r="B26" s="159"/>
      <c r="C26" s="161"/>
      <c r="D26" s="160"/>
      <c r="E26" s="160"/>
      <c r="F26" s="160"/>
    </row>
    <row r="27" spans="1:6" x14ac:dyDescent="0.3">
      <c r="A27" s="159"/>
      <c r="B27" s="159"/>
      <c r="C27" s="161"/>
      <c r="D27" s="160"/>
      <c r="E27" s="160"/>
      <c r="F27" s="160"/>
    </row>
    <row r="28" spans="1:6" x14ac:dyDescent="0.3">
      <c r="A28" s="159"/>
      <c r="B28" s="159"/>
      <c r="C28" s="161"/>
      <c r="D28" s="160"/>
      <c r="E28" s="160"/>
      <c r="F28" s="160"/>
    </row>
    <row r="29" spans="1:6" x14ac:dyDescent="0.3">
      <c r="A29" s="159"/>
      <c r="B29" s="159"/>
      <c r="C29" s="159"/>
      <c r="D29" s="160"/>
      <c r="E29" s="160"/>
      <c r="F29" s="160"/>
    </row>
    <row r="32" spans="1:6" x14ac:dyDescent="0.3">
      <c r="A32" s="42"/>
      <c r="C32" s="40"/>
      <c r="F32" s="156"/>
    </row>
    <row r="33" spans="1:3" x14ac:dyDescent="0.3">
      <c r="A33" s="95"/>
      <c r="C33" s="40"/>
    </row>
    <row r="35" spans="1:3" x14ac:dyDescent="0.3">
      <c r="C35" s="40"/>
    </row>
    <row r="36" spans="1:3" x14ac:dyDescent="0.3">
      <c r="C36" s="40"/>
    </row>
    <row r="37" spans="1:3" x14ac:dyDescent="0.3">
      <c r="C37" s="40"/>
    </row>
  </sheetData>
  <mergeCells count="4">
    <mergeCell ref="R3:T3"/>
    <mergeCell ref="J2:J3"/>
    <mergeCell ref="J1:N1"/>
    <mergeCell ref="L2:N2"/>
  </mergeCells>
  <phoneticPr fontId="2" type="noConversion"/>
  <pageMargins left="0.39370078740157483" right="0.39370078740157483" top="0.70866141732283472" bottom="0.39370078740157483" header="0.31496062992125984" footer="0.31496062992125984"/>
  <pageSetup paperSize="9"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14</vt:i4>
      </vt:variant>
    </vt:vector>
  </HeadingPairs>
  <TitlesOfParts>
    <vt:vector size="28" baseType="lpstr">
      <vt:lpstr>매출성과표</vt:lpstr>
      <vt:lpstr>월별출고수량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'10월'!Print_Area</vt:lpstr>
      <vt:lpstr>'11월'!Print_Area</vt:lpstr>
      <vt:lpstr>'12월'!Print_Area</vt:lpstr>
      <vt:lpstr>'1월'!Print_Area</vt:lpstr>
      <vt:lpstr>'2월'!Print_Area</vt:lpstr>
      <vt:lpstr>'3월'!Print_Area</vt:lpstr>
      <vt:lpstr>'4월'!Print_Area</vt:lpstr>
      <vt:lpstr>'5월'!Print_Area</vt:lpstr>
      <vt:lpstr>'6월'!Print_Area</vt:lpstr>
      <vt:lpstr>'7월'!Print_Area</vt:lpstr>
      <vt:lpstr>'8월'!Print_Area</vt:lpstr>
      <vt:lpstr>'9월'!Print_Area</vt:lpstr>
      <vt:lpstr>매출성과표!Print_Area</vt:lpstr>
      <vt:lpstr>월별출고수량!Print_Area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woosung00</dc:creator>
  <cp:keywords/>
  <dc:description/>
  <cp:lastModifiedBy>나영 윤</cp:lastModifiedBy>
  <cp:revision/>
  <cp:lastPrinted>2025-12-01T04:25:50Z</cp:lastPrinted>
  <dcterms:created xsi:type="dcterms:W3CDTF">2021-11-03T00:33:22Z</dcterms:created>
  <dcterms:modified xsi:type="dcterms:W3CDTF">2025-12-29T02:40:27Z</dcterms:modified>
  <cp:category/>
  <cp:contentStatus/>
</cp:coreProperties>
</file>