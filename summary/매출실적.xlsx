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adde99154f288966/Desktop/"/>
    </mc:Choice>
  </mc:AlternateContent>
  <xr:revisionPtr revIDLastSave="0" documentId="8_{33CE1C3D-BD5C-4AF9-9DA6-1E751E5B3989}" xr6:coauthVersionLast="47" xr6:coauthVersionMax="47" xr10:uidLastSave="{00000000-0000-0000-0000-000000000000}"/>
  <bookViews>
    <workbookView xWindow="-120" yWindow="-120" windowWidth="29040" windowHeight="15840" xr2:uid="{C5BCBFC9-FB34-42D8-B468-24F2F3902176}"/>
  </bookViews>
  <sheets>
    <sheet name="1월매출실적" sheetId="1" r:id="rId1"/>
  </sheets>
  <definedNames>
    <definedName name="_xlnm._FilterDatabase" localSheetId="0" hidden="1">'1월매출실적'!$A$3:$M$951</definedName>
    <definedName name="_xlnm.Print_Titles" localSheetId="0">'1월매출실적'!$3:$3</definedName>
    <definedName name="Z_200A56C0_EC11_4C55_9A58_3FBF578DCFD0_.wvu.FilterData" localSheetId="0" hidden="1">'1월매출실적'!$A$3:$M$951</definedName>
    <definedName name="Z_200A56C0_EC11_4C55_9A58_3FBF578DCFD0_.wvu.PrintTitles" localSheetId="0" hidden="1">'1월매출실적'!$3:$3</definedName>
    <definedName name="Z_268E63EA_CFE8_40BB_9C42_874E81DFE49C_.wvu.FilterData" localSheetId="0" hidden="1">'1월매출실적'!$A$3:$M$951</definedName>
    <definedName name="Z_268E63EA_CFE8_40BB_9C42_874E81DFE49C_.wvu.PrintTitles" localSheetId="0" hidden="1">'1월매출실적'!$3:$3</definedName>
    <definedName name="Z_61887AB4_39FC_4F03_8116_81DB15E08C0B_.wvu.FilterData" localSheetId="0" hidden="1">'1월매출실적'!$A$3:$M$951</definedName>
    <definedName name="Z_61887AB4_39FC_4F03_8116_81DB15E08C0B_.wvu.PrintTitles" localSheetId="0" hidden="1">'1월매출실적'!$3:$3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75" i="1" l="1"/>
  <c r="F1175" i="1"/>
  <c r="K1174" i="1"/>
  <c r="L1174" i="1" s="1"/>
  <c r="G1174" i="1"/>
  <c r="I1174" i="1" s="1"/>
  <c r="K1173" i="1"/>
  <c r="L1173" i="1" s="1"/>
  <c r="G1173" i="1"/>
  <c r="I1173" i="1" s="1"/>
  <c r="K1172" i="1"/>
  <c r="L1172" i="1" s="1"/>
  <c r="G1172" i="1"/>
  <c r="I1172" i="1" s="1"/>
  <c r="K1171" i="1"/>
  <c r="L1171" i="1" s="1"/>
  <c r="G1171" i="1"/>
  <c r="I1171" i="1" s="1"/>
  <c r="K1170" i="1"/>
  <c r="L1170" i="1" s="1"/>
  <c r="G1170" i="1"/>
  <c r="I1170" i="1" s="1"/>
  <c r="K1169" i="1"/>
  <c r="L1169" i="1" s="1"/>
  <c r="G1169" i="1"/>
  <c r="I1169" i="1" s="1"/>
  <c r="K1168" i="1"/>
  <c r="L1168" i="1" s="1"/>
  <c r="G1168" i="1"/>
  <c r="I1168" i="1" s="1"/>
  <c r="K1167" i="1"/>
  <c r="L1167" i="1" s="1"/>
  <c r="G1167" i="1"/>
  <c r="I1167" i="1" s="1"/>
  <c r="K1166" i="1"/>
  <c r="L1166" i="1" s="1"/>
  <c r="G1166" i="1"/>
  <c r="I1166" i="1" s="1"/>
  <c r="K1165" i="1"/>
  <c r="L1165" i="1" s="1"/>
  <c r="G1165" i="1"/>
  <c r="I1165" i="1" s="1"/>
  <c r="K1164" i="1"/>
  <c r="L1164" i="1" s="1"/>
  <c r="G1164" i="1"/>
  <c r="I1164" i="1" s="1"/>
  <c r="K1163" i="1"/>
  <c r="L1163" i="1" s="1"/>
  <c r="G1163" i="1"/>
  <c r="I1163" i="1" s="1"/>
  <c r="K1162" i="1"/>
  <c r="L1162" i="1" s="1"/>
  <c r="G1162" i="1"/>
  <c r="I1162" i="1" s="1"/>
  <c r="K1161" i="1"/>
  <c r="L1161" i="1" s="1"/>
  <c r="G1161" i="1"/>
  <c r="I1161" i="1" s="1"/>
  <c r="K1160" i="1"/>
  <c r="L1160" i="1" s="1"/>
  <c r="G1160" i="1"/>
  <c r="I1160" i="1" s="1"/>
  <c r="K1159" i="1"/>
  <c r="L1159" i="1" s="1"/>
  <c r="G1159" i="1"/>
  <c r="I1159" i="1" s="1"/>
  <c r="K1158" i="1"/>
  <c r="L1158" i="1" s="1"/>
  <c r="G1158" i="1"/>
  <c r="I1158" i="1" s="1"/>
  <c r="K1157" i="1"/>
  <c r="L1157" i="1" s="1"/>
  <c r="G1157" i="1"/>
  <c r="I1157" i="1" s="1"/>
  <c r="K1156" i="1"/>
  <c r="L1156" i="1" s="1"/>
  <c r="G1156" i="1"/>
  <c r="I1156" i="1" s="1"/>
  <c r="K1155" i="1"/>
  <c r="L1155" i="1" s="1"/>
  <c r="G1155" i="1"/>
  <c r="I1155" i="1" s="1"/>
  <c r="K1154" i="1"/>
  <c r="L1154" i="1" s="1"/>
  <c r="G1154" i="1"/>
  <c r="I1154" i="1" s="1"/>
  <c r="K1153" i="1"/>
  <c r="L1153" i="1" s="1"/>
  <c r="G1153" i="1"/>
  <c r="I1153" i="1" s="1"/>
  <c r="K1152" i="1"/>
  <c r="L1152" i="1" s="1"/>
  <c r="G1152" i="1"/>
  <c r="I1152" i="1" s="1"/>
  <c r="K1151" i="1"/>
  <c r="L1151" i="1" s="1"/>
  <c r="G1151" i="1"/>
  <c r="I1151" i="1" s="1"/>
  <c r="K1150" i="1"/>
  <c r="L1150" i="1" s="1"/>
  <c r="G1150" i="1"/>
  <c r="I1150" i="1" s="1"/>
  <c r="K1149" i="1"/>
  <c r="L1149" i="1" s="1"/>
  <c r="G1149" i="1"/>
  <c r="I1149" i="1" s="1"/>
  <c r="K1148" i="1"/>
  <c r="L1148" i="1" s="1"/>
  <c r="G1148" i="1"/>
  <c r="I1148" i="1" s="1"/>
  <c r="K1147" i="1"/>
  <c r="L1147" i="1" s="1"/>
  <c r="G1147" i="1"/>
  <c r="I1147" i="1" s="1"/>
  <c r="K1146" i="1"/>
  <c r="L1146" i="1" s="1"/>
  <c r="G1146" i="1"/>
  <c r="I1146" i="1" s="1"/>
  <c r="K1145" i="1"/>
  <c r="L1145" i="1" s="1"/>
  <c r="G1145" i="1"/>
  <c r="I1145" i="1" s="1"/>
  <c r="K1144" i="1"/>
  <c r="L1144" i="1" s="1"/>
  <c r="G1144" i="1"/>
  <c r="I1144" i="1" s="1"/>
  <c r="K1143" i="1"/>
  <c r="L1143" i="1" s="1"/>
  <c r="G1143" i="1"/>
  <c r="I1143" i="1" s="1"/>
  <c r="K1142" i="1"/>
  <c r="L1142" i="1" s="1"/>
  <c r="G1142" i="1"/>
  <c r="I1142" i="1" s="1"/>
  <c r="K1141" i="1"/>
  <c r="L1141" i="1" s="1"/>
  <c r="G1141" i="1"/>
  <c r="I1141" i="1" s="1"/>
  <c r="K1140" i="1"/>
  <c r="L1140" i="1" s="1"/>
  <c r="G1140" i="1"/>
  <c r="I1140" i="1" s="1"/>
  <c r="K1139" i="1"/>
  <c r="L1139" i="1" s="1"/>
  <c r="G1139" i="1"/>
  <c r="I1139" i="1" s="1"/>
  <c r="K1138" i="1"/>
  <c r="L1138" i="1" s="1"/>
  <c r="G1138" i="1"/>
  <c r="I1138" i="1" s="1"/>
  <c r="K1137" i="1"/>
  <c r="L1137" i="1" s="1"/>
  <c r="G1137" i="1"/>
  <c r="I1137" i="1" s="1"/>
  <c r="K1136" i="1"/>
  <c r="L1136" i="1" s="1"/>
  <c r="G1136" i="1"/>
  <c r="I1136" i="1" s="1"/>
  <c r="K1135" i="1"/>
  <c r="L1135" i="1" s="1"/>
  <c r="G1135" i="1"/>
  <c r="I1135" i="1" s="1"/>
  <c r="K1134" i="1"/>
  <c r="L1134" i="1" s="1"/>
  <c r="G1134" i="1"/>
  <c r="I1134" i="1" s="1"/>
  <c r="K1133" i="1"/>
  <c r="L1133" i="1" s="1"/>
  <c r="G1133" i="1"/>
  <c r="I1133" i="1" s="1"/>
  <c r="K1132" i="1"/>
  <c r="L1132" i="1" s="1"/>
  <c r="G1132" i="1"/>
  <c r="I1132" i="1" s="1"/>
  <c r="K1131" i="1"/>
  <c r="L1131" i="1" s="1"/>
  <c r="G1131" i="1"/>
  <c r="I1131" i="1" s="1"/>
  <c r="K1130" i="1"/>
  <c r="L1130" i="1" s="1"/>
  <c r="G1130" i="1"/>
  <c r="I1130" i="1" s="1"/>
  <c r="K1129" i="1"/>
  <c r="L1129" i="1" s="1"/>
  <c r="G1129" i="1"/>
  <c r="I1129" i="1" s="1"/>
  <c r="K1128" i="1"/>
  <c r="L1128" i="1" s="1"/>
  <c r="G1128" i="1"/>
  <c r="I1128" i="1" s="1"/>
  <c r="K1127" i="1"/>
  <c r="L1127" i="1" s="1"/>
  <c r="G1127" i="1"/>
  <c r="I1127" i="1" s="1"/>
  <c r="K1126" i="1"/>
  <c r="L1126" i="1" s="1"/>
  <c r="G1126" i="1"/>
  <c r="I1126" i="1" s="1"/>
  <c r="K1125" i="1"/>
  <c r="L1125" i="1" s="1"/>
  <c r="G1125" i="1"/>
  <c r="I1125" i="1" s="1"/>
  <c r="K1124" i="1"/>
  <c r="L1124" i="1" s="1"/>
  <c r="G1124" i="1"/>
  <c r="I1124" i="1" s="1"/>
  <c r="K1123" i="1"/>
  <c r="L1123" i="1" s="1"/>
  <c r="G1123" i="1"/>
  <c r="I1123" i="1" s="1"/>
  <c r="K1122" i="1"/>
  <c r="L1122" i="1" s="1"/>
  <c r="G1122" i="1"/>
  <c r="I1122" i="1" s="1"/>
  <c r="K1121" i="1"/>
  <c r="L1121" i="1" s="1"/>
  <c r="G1121" i="1"/>
  <c r="I1121" i="1" s="1"/>
  <c r="K1120" i="1"/>
  <c r="L1120" i="1" s="1"/>
  <c r="G1120" i="1"/>
  <c r="I1120" i="1" s="1"/>
  <c r="K1119" i="1"/>
  <c r="L1119" i="1" s="1"/>
  <c r="G1119" i="1"/>
  <c r="I1119" i="1" s="1"/>
  <c r="K1118" i="1"/>
  <c r="L1118" i="1" s="1"/>
  <c r="G1118" i="1"/>
  <c r="I1118" i="1" s="1"/>
  <c r="K1117" i="1"/>
  <c r="L1117" i="1" s="1"/>
  <c r="G1117" i="1"/>
  <c r="I1117" i="1" s="1"/>
  <c r="K1116" i="1"/>
  <c r="L1116" i="1" s="1"/>
  <c r="G1116" i="1"/>
  <c r="G1175" i="1" s="1"/>
  <c r="H1114" i="1"/>
  <c r="F1114" i="1"/>
  <c r="O1113" i="1"/>
  <c r="K1113" i="1"/>
  <c r="L1113" i="1" s="1"/>
  <c r="G1113" i="1"/>
  <c r="I1113" i="1" s="1"/>
  <c r="O1112" i="1"/>
  <c r="L1112" i="1"/>
  <c r="K1112" i="1"/>
  <c r="I1112" i="1"/>
  <c r="G1112" i="1"/>
  <c r="O1111" i="1"/>
  <c r="K1111" i="1"/>
  <c r="L1111" i="1" s="1"/>
  <c r="G1111" i="1"/>
  <c r="I1111" i="1" s="1"/>
  <c r="O1110" i="1"/>
  <c r="L1110" i="1"/>
  <c r="K1110" i="1"/>
  <c r="I1110" i="1"/>
  <c r="G1110" i="1"/>
  <c r="O1109" i="1"/>
  <c r="K1109" i="1"/>
  <c r="L1109" i="1" s="1"/>
  <c r="G1109" i="1"/>
  <c r="I1109" i="1" s="1"/>
  <c r="O1108" i="1"/>
  <c r="L1108" i="1"/>
  <c r="K1108" i="1"/>
  <c r="I1108" i="1"/>
  <c r="G1108" i="1"/>
  <c r="O1107" i="1"/>
  <c r="K1107" i="1"/>
  <c r="L1107" i="1" s="1"/>
  <c r="G1107" i="1"/>
  <c r="I1107" i="1" s="1"/>
  <c r="O1106" i="1"/>
  <c r="L1106" i="1"/>
  <c r="K1106" i="1"/>
  <c r="I1106" i="1"/>
  <c r="G1106" i="1"/>
  <c r="O1105" i="1"/>
  <c r="K1105" i="1"/>
  <c r="L1105" i="1" s="1"/>
  <c r="G1105" i="1"/>
  <c r="I1105" i="1" s="1"/>
  <c r="O1104" i="1"/>
  <c r="L1104" i="1"/>
  <c r="K1104" i="1"/>
  <c r="I1104" i="1"/>
  <c r="G1104" i="1"/>
  <c r="O1103" i="1"/>
  <c r="K1103" i="1"/>
  <c r="L1103" i="1" s="1"/>
  <c r="G1103" i="1"/>
  <c r="I1103" i="1" s="1"/>
  <c r="O1102" i="1"/>
  <c r="L1102" i="1"/>
  <c r="K1102" i="1"/>
  <c r="I1102" i="1"/>
  <c r="G1102" i="1"/>
  <c r="O1101" i="1"/>
  <c r="K1101" i="1"/>
  <c r="L1101" i="1" s="1"/>
  <c r="G1101" i="1"/>
  <c r="I1101" i="1" s="1"/>
  <c r="O1100" i="1"/>
  <c r="L1100" i="1"/>
  <c r="K1100" i="1"/>
  <c r="I1100" i="1"/>
  <c r="G1100" i="1"/>
  <c r="O1099" i="1"/>
  <c r="K1099" i="1"/>
  <c r="L1099" i="1" s="1"/>
  <c r="G1099" i="1"/>
  <c r="I1099" i="1" s="1"/>
  <c r="O1098" i="1"/>
  <c r="L1098" i="1"/>
  <c r="K1098" i="1"/>
  <c r="I1098" i="1"/>
  <c r="G1098" i="1"/>
  <c r="O1097" i="1"/>
  <c r="O1114" i="1" s="1"/>
  <c r="K1097" i="1"/>
  <c r="L1097" i="1" s="1"/>
  <c r="G1097" i="1"/>
  <c r="I1097" i="1" s="1"/>
  <c r="O1096" i="1"/>
  <c r="L1096" i="1"/>
  <c r="K1096" i="1"/>
  <c r="I1096" i="1"/>
  <c r="G1096" i="1"/>
  <c r="O1095" i="1"/>
  <c r="K1095" i="1"/>
  <c r="L1095" i="1" s="1"/>
  <c r="G1095" i="1"/>
  <c r="I1095" i="1" s="1"/>
  <c r="O1094" i="1"/>
  <c r="L1094" i="1"/>
  <c r="K1094" i="1"/>
  <c r="I1094" i="1"/>
  <c r="G1094" i="1"/>
  <c r="O1093" i="1"/>
  <c r="K1093" i="1"/>
  <c r="L1093" i="1" s="1"/>
  <c r="G1093" i="1"/>
  <c r="I1093" i="1" s="1"/>
  <c r="O1092" i="1"/>
  <c r="L1092" i="1"/>
  <c r="K1092" i="1"/>
  <c r="I1092" i="1"/>
  <c r="G1092" i="1"/>
  <c r="O1091" i="1"/>
  <c r="K1091" i="1"/>
  <c r="L1091" i="1" s="1"/>
  <c r="G1091" i="1"/>
  <c r="I1091" i="1" s="1"/>
  <c r="O1090" i="1"/>
  <c r="L1090" i="1"/>
  <c r="K1090" i="1"/>
  <c r="I1090" i="1"/>
  <c r="G1090" i="1"/>
  <c r="O1089" i="1"/>
  <c r="K1089" i="1"/>
  <c r="L1089" i="1" s="1"/>
  <c r="G1089" i="1"/>
  <c r="I1089" i="1" s="1"/>
  <c r="O1088" i="1"/>
  <c r="L1088" i="1"/>
  <c r="K1088" i="1"/>
  <c r="I1088" i="1"/>
  <c r="G1088" i="1"/>
  <c r="O1087" i="1"/>
  <c r="K1087" i="1"/>
  <c r="L1087" i="1" s="1"/>
  <c r="G1087" i="1"/>
  <c r="I1087" i="1" s="1"/>
  <c r="O1086" i="1"/>
  <c r="L1086" i="1"/>
  <c r="K1086" i="1"/>
  <c r="I1086" i="1"/>
  <c r="G1086" i="1"/>
  <c r="O1085" i="1"/>
  <c r="K1085" i="1"/>
  <c r="L1085" i="1" s="1"/>
  <c r="G1085" i="1"/>
  <c r="I1085" i="1" s="1"/>
  <c r="O1084" i="1"/>
  <c r="L1084" i="1"/>
  <c r="K1084" i="1"/>
  <c r="I1084" i="1"/>
  <c r="G1084" i="1"/>
  <c r="P1083" i="1"/>
  <c r="O1083" i="1"/>
  <c r="L1083" i="1"/>
  <c r="K1083" i="1"/>
  <c r="I1083" i="1"/>
  <c r="G1083" i="1"/>
  <c r="O1082" i="1"/>
  <c r="K1082" i="1"/>
  <c r="L1082" i="1" s="1"/>
  <c r="G1082" i="1"/>
  <c r="I1082" i="1" s="1"/>
  <c r="O1081" i="1"/>
  <c r="L1081" i="1"/>
  <c r="K1081" i="1"/>
  <c r="I1081" i="1"/>
  <c r="G1081" i="1"/>
  <c r="O1080" i="1"/>
  <c r="K1080" i="1"/>
  <c r="L1080" i="1" s="1"/>
  <c r="G1080" i="1"/>
  <c r="I1080" i="1" s="1"/>
  <c r="O1079" i="1"/>
  <c r="L1079" i="1"/>
  <c r="K1079" i="1"/>
  <c r="I1079" i="1"/>
  <c r="G1079" i="1"/>
  <c r="O1078" i="1"/>
  <c r="K1078" i="1"/>
  <c r="L1078" i="1" s="1"/>
  <c r="G1078" i="1"/>
  <c r="I1078" i="1" s="1"/>
  <c r="O1077" i="1"/>
  <c r="L1077" i="1"/>
  <c r="K1077" i="1"/>
  <c r="I1077" i="1"/>
  <c r="G1077" i="1"/>
  <c r="O1076" i="1"/>
  <c r="K1076" i="1"/>
  <c r="L1076" i="1" s="1"/>
  <c r="G1076" i="1"/>
  <c r="I1076" i="1" s="1"/>
  <c r="O1075" i="1"/>
  <c r="L1075" i="1"/>
  <c r="K1075" i="1"/>
  <c r="I1075" i="1"/>
  <c r="G1075" i="1"/>
  <c r="O1074" i="1"/>
  <c r="K1074" i="1"/>
  <c r="L1074" i="1" s="1"/>
  <c r="G1074" i="1"/>
  <c r="I1074" i="1" s="1"/>
  <c r="O1073" i="1"/>
  <c r="L1073" i="1"/>
  <c r="K1073" i="1"/>
  <c r="I1073" i="1"/>
  <c r="G1073" i="1"/>
  <c r="O1072" i="1"/>
  <c r="K1072" i="1"/>
  <c r="L1072" i="1" s="1"/>
  <c r="G1072" i="1"/>
  <c r="I1072" i="1" s="1"/>
  <c r="O1071" i="1"/>
  <c r="L1071" i="1"/>
  <c r="K1071" i="1"/>
  <c r="G1071" i="1"/>
  <c r="I1071" i="1" s="1"/>
  <c r="O1070" i="1"/>
  <c r="P1069" i="1" s="1"/>
  <c r="L1070" i="1"/>
  <c r="K1070" i="1"/>
  <c r="I1070" i="1"/>
  <c r="G1070" i="1"/>
  <c r="O1069" i="1"/>
  <c r="L1069" i="1"/>
  <c r="K1069" i="1"/>
  <c r="I1069" i="1"/>
  <c r="G1069" i="1"/>
  <c r="O1068" i="1"/>
  <c r="L1068" i="1"/>
  <c r="K1068" i="1"/>
  <c r="G1068" i="1"/>
  <c r="I1068" i="1" s="1"/>
  <c r="O1067" i="1"/>
  <c r="L1067" i="1"/>
  <c r="K1067" i="1"/>
  <c r="I1067" i="1"/>
  <c r="G1067" i="1"/>
  <c r="O1066" i="1"/>
  <c r="K1066" i="1"/>
  <c r="L1066" i="1" s="1"/>
  <c r="I1066" i="1"/>
  <c r="G1066" i="1"/>
  <c r="O1065" i="1"/>
  <c r="L1065" i="1"/>
  <c r="K1065" i="1"/>
  <c r="I1065" i="1"/>
  <c r="G1065" i="1"/>
  <c r="O1064" i="1"/>
  <c r="L1064" i="1"/>
  <c r="K1064" i="1"/>
  <c r="G1064" i="1"/>
  <c r="I1064" i="1" s="1"/>
  <c r="O1063" i="1"/>
  <c r="L1063" i="1"/>
  <c r="K1063" i="1"/>
  <c r="I1063" i="1"/>
  <c r="G1063" i="1"/>
  <c r="O1062" i="1"/>
  <c r="K1062" i="1"/>
  <c r="L1062" i="1" s="1"/>
  <c r="I1062" i="1"/>
  <c r="G1062" i="1"/>
  <c r="O1061" i="1"/>
  <c r="L1061" i="1"/>
  <c r="K1061" i="1"/>
  <c r="I1061" i="1"/>
  <c r="G1061" i="1"/>
  <c r="O1060" i="1"/>
  <c r="L1060" i="1"/>
  <c r="K1060" i="1"/>
  <c r="G1060" i="1"/>
  <c r="I1060" i="1" s="1"/>
  <c r="O1059" i="1"/>
  <c r="L1059" i="1"/>
  <c r="K1059" i="1"/>
  <c r="I1059" i="1"/>
  <c r="G1059" i="1"/>
  <c r="O1058" i="1"/>
  <c r="K1058" i="1"/>
  <c r="L1058" i="1" s="1"/>
  <c r="I1058" i="1"/>
  <c r="G1058" i="1"/>
  <c r="O1057" i="1"/>
  <c r="L1057" i="1"/>
  <c r="K1057" i="1"/>
  <c r="I1057" i="1"/>
  <c r="G1057" i="1"/>
  <c r="O1056" i="1"/>
  <c r="L1056" i="1"/>
  <c r="K1056" i="1"/>
  <c r="G1056" i="1"/>
  <c r="I1056" i="1" s="1"/>
  <c r="O1055" i="1"/>
  <c r="O1054" i="1" s="1"/>
  <c r="L1055" i="1"/>
  <c r="K1055" i="1"/>
  <c r="I1055" i="1"/>
  <c r="I1114" i="1" s="1"/>
  <c r="G1055" i="1"/>
  <c r="K1053" i="1"/>
  <c r="I1053" i="1"/>
  <c r="G1053" i="1"/>
  <c r="L1052" i="1"/>
  <c r="K1052" i="1"/>
  <c r="I1052" i="1"/>
  <c r="H1052" i="1"/>
  <c r="G1052" i="1"/>
  <c r="K1051" i="1"/>
  <c r="L1051" i="1" s="1"/>
  <c r="I1051" i="1"/>
  <c r="H1051" i="1"/>
  <c r="G1051" i="1"/>
  <c r="L1050" i="1"/>
  <c r="K1050" i="1"/>
  <c r="G1050" i="1"/>
  <c r="L1049" i="1"/>
  <c r="K1049" i="1"/>
  <c r="H1049" i="1"/>
  <c r="G1049" i="1"/>
  <c r="L1048" i="1"/>
  <c r="K1048" i="1"/>
  <c r="I1048" i="1"/>
  <c r="H1048" i="1"/>
  <c r="G1048" i="1"/>
  <c r="K1047" i="1"/>
  <c r="L1047" i="1" s="1"/>
  <c r="I1047" i="1"/>
  <c r="H1047" i="1"/>
  <c r="G1047" i="1"/>
  <c r="L1046" i="1"/>
  <c r="K1046" i="1"/>
  <c r="I1046" i="1"/>
  <c r="G1046" i="1"/>
  <c r="L1045" i="1"/>
  <c r="K1045" i="1"/>
  <c r="I1045" i="1"/>
  <c r="G1045" i="1"/>
  <c r="L1044" i="1"/>
  <c r="K1044" i="1"/>
  <c r="I1044" i="1"/>
  <c r="G1044" i="1"/>
  <c r="L1043" i="1"/>
  <c r="K1043" i="1"/>
  <c r="I1043" i="1"/>
  <c r="G1043" i="1"/>
  <c r="L1042" i="1"/>
  <c r="K1042" i="1"/>
  <c r="I1042" i="1"/>
  <c r="G1042" i="1"/>
  <c r="L1041" i="1"/>
  <c r="K1041" i="1"/>
  <c r="I1041" i="1"/>
  <c r="G1041" i="1"/>
  <c r="L1040" i="1"/>
  <c r="K1040" i="1"/>
  <c r="I1040" i="1"/>
  <c r="G1040" i="1"/>
  <c r="L1039" i="1"/>
  <c r="K1039" i="1"/>
  <c r="I1039" i="1"/>
  <c r="G1039" i="1"/>
  <c r="L1038" i="1"/>
  <c r="K1038" i="1"/>
  <c r="I1038" i="1"/>
  <c r="G1038" i="1"/>
  <c r="L1037" i="1"/>
  <c r="K1037" i="1"/>
  <c r="I1037" i="1"/>
  <c r="G1037" i="1"/>
  <c r="L1036" i="1"/>
  <c r="K1036" i="1"/>
  <c r="G1036" i="1"/>
  <c r="L1035" i="1"/>
  <c r="K1035" i="1"/>
  <c r="H1035" i="1"/>
  <c r="G1035" i="1"/>
  <c r="L1034" i="1"/>
  <c r="K1034" i="1"/>
  <c r="I1034" i="1"/>
  <c r="H1034" i="1"/>
  <c r="G1034" i="1"/>
  <c r="K1033" i="1"/>
  <c r="L1033" i="1" s="1"/>
  <c r="I1033" i="1"/>
  <c r="H1033" i="1"/>
  <c r="G1033" i="1"/>
  <c r="L1032" i="1"/>
  <c r="K1032" i="1"/>
  <c r="I1032" i="1"/>
  <c r="G1032" i="1"/>
  <c r="L1031" i="1"/>
  <c r="K1031" i="1"/>
  <c r="G1031" i="1"/>
  <c r="L1030" i="1"/>
  <c r="K1030" i="1"/>
  <c r="H1030" i="1"/>
  <c r="G1030" i="1"/>
  <c r="L1029" i="1"/>
  <c r="K1029" i="1"/>
  <c r="I1029" i="1"/>
  <c r="H1029" i="1"/>
  <c r="G1029" i="1"/>
  <c r="K1028" i="1"/>
  <c r="L1028" i="1" s="1"/>
  <c r="I1028" i="1"/>
  <c r="H1028" i="1"/>
  <c r="G1028" i="1"/>
  <c r="L1027" i="1"/>
  <c r="K1027" i="1"/>
  <c r="G1027" i="1"/>
  <c r="L1026" i="1"/>
  <c r="K1026" i="1"/>
  <c r="H1026" i="1"/>
  <c r="G1026" i="1"/>
  <c r="L1025" i="1"/>
  <c r="K1025" i="1"/>
  <c r="I1025" i="1"/>
  <c r="H1025" i="1"/>
  <c r="G1025" i="1"/>
  <c r="K1024" i="1"/>
  <c r="L1024" i="1" s="1"/>
  <c r="I1024" i="1"/>
  <c r="G1024" i="1"/>
  <c r="K1023" i="1"/>
  <c r="L1023" i="1" s="1"/>
  <c r="I1023" i="1"/>
  <c r="G1023" i="1"/>
  <c r="K1022" i="1"/>
  <c r="L1022" i="1" s="1"/>
  <c r="I1022" i="1"/>
  <c r="G1022" i="1"/>
  <c r="K1021" i="1"/>
  <c r="L1021" i="1" s="1"/>
  <c r="I1021" i="1"/>
  <c r="G1021" i="1"/>
  <c r="K1020" i="1"/>
  <c r="L1020" i="1" s="1"/>
  <c r="I1020" i="1"/>
  <c r="G1020" i="1"/>
  <c r="K1019" i="1"/>
  <c r="L1019" i="1" s="1"/>
  <c r="I1019" i="1"/>
  <c r="G1019" i="1"/>
  <c r="K1018" i="1"/>
  <c r="L1018" i="1" s="1"/>
  <c r="I1018" i="1"/>
  <c r="G1018" i="1"/>
  <c r="K1017" i="1"/>
  <c r="L1017" i="1" s="1"/>
  <c r="I1017" i="1"/>
  <c r="H1017" i="1"/>
  <c r="G1017" i="1"/>
  <c r="L1016" i="1"/>
  <c r="K1016" i="1"/>
  <c r="G1016" i="1"/>
  <c r="L1015" i="1"/>
  <c r="K1015" i="1"/>
  <c r="G1015" i="1"/>
  <c r="I1015" i="1" s="1"/>
  <c r="L1014" i="1"/>
  <c r="K1014" i="1"/>
  <c r="H1014" i="1"/>
  <c r="G1014" i="1"/>
  <c r="L1013" i="1"/>
  <c r="K1013" i="1"/>
  <c r="I1013" i="1"/>
  <c r="H1013" i="1"/>
  <c r="G1013" i="1"/>
  <c r="L1011" i="1"/>
  <c r="K1011" i="1"/>
  <c r="I1011" i="1"/>
  <c r="G1011" i="1"/>
  <c r="G1012" i="1" s="1"/>
  <c r="I1012" i="1" s="1"/>
  <c r="L1010" i="1"/>
  <c r="K1010" i="1"/>
  <c r="I1010" i="1"/>
  <c r="H1010" i="1"/>
  <c r="G1010" i="1"/>
  <c r="K1009" i="1"/>
  <c r="L1009" i="1" s="1"/>
  <c r="I1009" i="1"/>
  <c r="G1009" i="1"/>
  <c r="K1008" i="1"/>
  <c r="L1008" i="1" s="1"/>
  <c r="I1008" i="1"/>
  <c r="G1008" i="1"/>
  <c r="K1007" i="1"/>
  <c r="L1007" i="1" s="1"/>
  <c r="I1007" i="1"/>
  <c r="G1007" i="1"/>
  <c r="K1005" i="1"/>
  <c r="L1005" i="1" s="1"/>
  <c r="I1005" i="1"/>
  <c r="G1005" i="1"/>
  <c r="K1004" i="1"/>
  <c r="L1004" i="1" s="1"/>
  <c r="I1004" i="1"/>
  <c r="G1004" i="1"/>
  <c r="K1003" i="1"/>
  <c r="L1003" i="1" s="1"/>
  <c r="L1006" i="1" s="1"/>
  <c r="M1006" i="1" s="1"/>
  <c r="I1003" i="1"/>
  <c r="G1003" i="1"/>
  <c r="G1006" i="1" s="1"/>
  <c r="I1006" i="1" s="1"/>
  <c r="K1002" i="1"/>
  <c r="J1002" i="1"/>
  <c r="H1002" i="1"/>
  <c r="G1002" i="1"/>
  <c r="F1002" i="1"/>
  <c r="L1001" i="1"/>
  <c r="K1001" i="1"/>
  <c r="I1001" i="1"/>
  <c r="G1001" i="1"/>
  <c r="L1000" i="1"/>
  <c r="L1002" i="1" s="1"/>
  <c r="K1000" i="1"/>
  <c r="I1000" i="1"/>
  <c r="I1002" i="1" s="1"/>
  <c r="G1000" i="1"/>
  <c r="G995" i="1"/>
  <c r="L994" i="1"/>
  <c r="K994" i="1"/>
  <c r="H994" i="1"/>
  <c r="G994" i="1"/>
  <c r="I994" i="1" s="1"/>
  <c r="L993" i="1"/>
  <c r="K993" i="1"/>
  <c r="I993" i="1"/>
  <c r="H993" i="1"/>
  <c r="G993" i="1"/>
  <c r="K992" i="1"/>
  <c r="L992" i="1" s="1"/>
  <c r="I992" i="1"/>
  <c r="H992" i="1"/>
  <c r="G992" i="1"/>
  <c r="L991" i="1"/>
  <c r="K991" i="1"/>
  <c r="G991" i="1"/>
  <c r="K990" i="1"/>
  <c r="G990" i="1"/>
  <c r="K989" i="1"/>
  <c r="G989" i="1"/>
  <c r="L988" i="1"/>
  <c r="L996" i="1" s="1"/>
  <c r="K988" i="1"/>
  <c r="H988" i="1"/>
  <c r="G988" i="1"/>
  <c r="I988" i="1" s="1"/>
  <c r="L986" i="1"/>
  <c r="K986" i="1"/>
  <c r="I986" i="1"/>
  <c r="H986" i="1"/>
  <c r="G986" i="1"/>
  <c r="K985" i="1"/>
  <c r="L985" i="1" s="1"/>
  <c r="I985" i="1"/>
  <c r="H985" i="1"/>
  <c r="G985" i="1"/>
  <c r="L984" i="1"/>
  <c r="K984" i="1"/>
  <c r="G984" i="1"/>
  <c r="L983" i="1"/>
  <c r="K983" i="1"/>
  <c r="H983" i="1"/>
  <c r="G983" i="1"/>
  <c r="G987" i="1" s="1"/>
  <c r="L982" i="1"/>
  <c r="K982" i="1"/>
  <c r="I982" i="1"/>
  <c r="H982" i="1"/>
  <c r="G982" i="1"/>
  <c r="K981" i="1"/>
  <c r="L981" i="1" s="1"/>
  <c r="I981" i="1"/>
  <c r="H981" i="1"/>
  <c r="G981" i="1"/>
  <c r="L979" i="1"/>
  <c r="K979" i="1"/>
  <c r="G979" i="1"/>
  <c r="L978" i="1"/>
  <c r="K978" i="1"/>
  <c r="H978" i="1"/>
  <c r="G978" i="1"/>
  <c r="L977" i="1"/>
  <c r="K977" i="1"/>
  <c r="I977" i="1"/>
  <c r="H977" i="1"/>
  <c r="G977" i="1"/>
  <c r="K976" i="1"/>
  <c r="L976" i="1" s="1"/>
  <c r="I976" i="1"/>
  <c r="H976" i="1"/>
  <c r="G976" i="1"/>
  <c r="L975" i="1"/>
  <c r="K975" i="1"/>
  <c r="G975" i="1"/>
  <c r="L974" i="1"/>
  <c r="K974" i="1"/>
  <c r="H974" i="1"/>
  <c r="G974" i="1"/>
  <c r="L973" i="1"/>
  <c r="K973" i="1"/>
  <c r="I973" i="1"/>
  <c r="H973" i="1"/>
  <c r="G973" i="1"/>
  <c r="K972" i="1"/>
  <c r="L972" i="1" s="1"/>
  <c r="I972" i="1"/>
  <c r="H972" i="1"/>
  <c r="G972" i="1"/>
  <c r="G980" i="1" s="1"/>
  <c r="L970" i="1"/>
  <c r="K970" i="1"/>
  <c r="H970" i="1"/>
  <c r="G970" i="1"/>
  <c r="L969" i="1"/>
  <c r="K969" i="1"/>
  <c r="I969" i="1"/>
  <c r="H969" i="1"/>
  <c r="G969" i="1"/>
  <c r="K968" i="1"/>
  <c r="L968" i="1" s="1"/>
  <c r="I968" i="1"/>
  <c r="H968" i="1"/>
  <c r="G968" i="1"/>
  <c r="L967" i="1"/>
  <c r="K967" i="1"/>
  <c r="G967" i="1"/>
  <c r="L966" i="1"/>
  <c r="K966" i="1"/>
  <c r="H966" i="1"/>
  <c r="G966" i="1"/>
  <c r="L965" i="1"/>
  <c r="K965" i="1"/>
  <c r="I965" i="1"/>
  <c r="H965" i="1"/>
  <c r="G965" i="1"/>
  <c r="K964" i="1"/>
  <c r="L964" i="1" s="1"/>
  <c r="I964" i="1"/>
  <c r="H964" i="1"/>
  <c r="G964" i="1"/>
  <c r="L963" i="1"/>
  <c r="K963" i="1"/>
  <c r="G963" i="1"/>
  <c r="L962" i="1"/>
  <c r="K962" i="1"/>
  <c r="H962" i="1"/>
  <c r="G962" i="1"/>
  <c r="L961" i="1"/>
  <c r="K961" i="1"/>
  <c r="I961" i="1"/>
  <c r="H961" i="1"/>
  <c r="G961" i="1"/>
  <c r="K960" i="1"/>
  <c r="L960" i="1" s="1"/>
  <c r="I960" i="1"/>
  <c r="H960" i="1"/>
  <c r="G960" i="1"/>
  <c r="L959" i="1"/>
  <c r="K959" i="1"/>
  <c r="G959" i="1"/>
  <c r="L958" i="1"/>
  <c r="K958" i="1"/>
  <c r="H958" i="1"/>
  <c r="G958" i="1"/>
  <c r="L957" i="1"/>
  <c r="K957" i="1"/>
  <c r="I957" i="1"/>
  <c r="H957" i="1"/>
  <c r="G957" i="1"/>
  <c r="K956" i="1"/>
  <c r="L956" i="1" s="1"/>
  <c r="I956" i="1"/>
  <c r="H956" i="1"/>
  <c r="G956" i="1"/>
  <c r="L955" i="1"/>
  <c r="K955" i="1"/>
  <c r="G955" i="1"/>
  <c r="L954" i="1"/>
  <c r="K954" i="1"/>
  <c r="H954" i="1"/>
  <c r="G954" i="1"/>
  <c r="L953" i="1"/>
  <c r="K953" i="1"/>
  <c r="I953" i="1"/>
  <c r="H953" i="1"/>
  <c r="G953" i="1"/>
  <c r="K952" i="1"/>
  <c r="L952" i="1" s="1"/>
  <c r="I952" i="1"/>
  <c r="H952" i="1"/>
  <c r="G952" i="1"/>
  <c r="L951" i="1"/>
  <c r="K951" i="1"/>
  <c r="G951" i="1"/>
  <c r="L950" i="1"/>
  <c r="K950" i="1"/>
  <c r="H950" i="1"/>
  <c r="G950" i="1"/>
  <c r="L949" i="1"/>
  <c r="K949" i="1"/>
  <c r="I949" i="1"/>
  <c r="H949" i="1"/>
  <c r="G949" i="1"/>
  <c r="K947" i="1"/>
  <c r="L947" i="1" s="1"/>
  <c r="I947" i="1"/>
  <c r="H947" i="1"/>
  <c r="G947" i="1"/>
  <c r="L946" i="1"/>
  <c r="K946" i="1"/>
  <c r="G946" i="1"/>
  <c r="L945" i="1"/>
  <c r="K945" i="1"/>
  <c r="H945" i="1"/>
  <c r="G945" i="1"/>
  <c r="G948" i="1" s="1"/>
  <c r="L943" i="1"/>
  <c r="K943" i="1"/>
  <c r="I943" i="1"/>
  <c r="H943" i="1"/>
  <c r="G943" i="1"/>
  <c r="K942" i="1"/>
  <c r="L942" i="1" s="1"/>
  <c r="I942" i="1"/>
  <c r="H942" i="1"/>
  <c r="G942" i="1"/>
  <c r="L941" i="1"/>
  <c r="L944" i="1" s="1"/>
  <c r="K941" i="1"/>
  <c r="G941" i="1"/>
  <c r="L939" i="1"/>
  <c r="K939" i="1"/>
  <c r="I939" i="1"/>
  <c r="H939" i="1"/>
  <c r="G939" i="1"/>
  <c r="K938" i="1"/>
  <c r="L938" i="1" s="1"/>
  <c r="I938" i="1"/>
  <c r="H938" i="1"/>
  <c r="G938" i="1"/>
  <c r="L937" i="1"/>
  <c r="K937" i="1"/>
  <c r="G937" i="1"/>
  <c r="L936" i="1"/>
  <c r="L940" i="1" s="1"/>
  <c r="M940" i="1" s="1"/>
  <c r="K936" i="1"/>
  <c r="H936" i="1"/>
  <c r="G936" i="1"/>
  <c r="G940" i="1" s="1"/>
  <c r="H935" i="1"/>
  <c r="G935" i="1"/>
  <c r="L934" i="1"/>
  <c r="K934" i="1"/>
  <c r="I934" i="1"/>
  <c r="H934" i="1"/>
  <c r="G934" i="1"/>
  <c r="K933" i="1"/>
  <c r="L933" i="1" s="1"/>
  <c r="L935" i="1" s="1"/>
  <c r="I933" i="1"/>
  <c r="H933" i="1"/>
  <c r="G933" i="1"/>
  <c r="L932" i="1"/>
  <c r="L931" i="1"/>
  <c r="K931" i="1"/>
  <c r="G931" i="1"/>
  <c r="L930" i="1"/>
  <c r="K930" i="1"/>
  <c r="H930" i="1"/>
  <c r="G930" i="1"/>
  <c r="G932" i="1" s="1"/>
  <c r="H929" i="1"/>
  <c r="G929" i="1"/>
  <c r="L928" i="1"/>
  <c r="K928" i="1"/>
  <c r="I928" i="1"/>
  <c r="H928" i="1"/>
  <c r="G928" i="1"/>
  <c r="K927" i="1"/>
  <c r="L927" i="1" s="1"/>
  <c r="L929" i="1" s="1"/>
  <c r="I927" i="1"/>
  <c r="H927" i="1"/>
  <c r="G927" i="1"/>
  <c r="L925" i="1"/>
  <c r="L926" i="1" s="1"/>
  <c r="K925" i="1"/>
  <c r="G925" i="1"/>
  <c r="L924" i="1"/>
  <c r="K924" i="1"/>
  <c r="H924" i="1"/>
  <c r="G924" i="1"/>
  <c r="G926" i="1" s="1"/>
  <c r="G923" i="1"/>
  <c r="L922" i="1"/>
  <c r="K922" i="1"/>
  <c r="H922" i="1"/>
  <c r="G922" i="1"/>
  <c r="K921" i="1"/>
  <c r="L921" i="1" s="1"/>
  <c r="L923" i="1" s="1"/>
  <c r="I921" i="1"/>
  <c r="H921" i="1"/>
  <c r="G921" i="1"/>
  <c r="L919" i="1"/>
  <c r="K919" i="1"/>
  <c r="G919" i="1"/>
  <c r="L918" i="1"/>
  <c r="L920" i="1" s="1"/>
  <c r="K918" i="1"/>
  <c r="H918" i="1"/>
  <c r="G918" i="1"/>
  <c r="L917" i="1"/>
  <c r="K917" i="1"/>
  <c r="I917" i="1"/>
  <c r="H917" i="1"/>
  <c r="G917" i="1"/>
  <c r="G920" i="1" s="1"/>
  <c r="K915" i="1"/>
  <c r="L915" i="1" s="1"/>
  <c r="I915" i="1"/>
  <c r="H915" i="1"/>
  <c r="G915" i="1"/>
  <c r="K914" i="1"/>
  <c r="L914" i="1" s="1"/>
  <c r="G914" i="1"/>
  <c r="L913" i="1"/>
  <c r="K913" i="1"/>
  <c r="G913" i="1"/>
  <c r="H912" i="1"/>
  <c r="G912" i="1"/>
  <c r="L911" i="1"/>
  <c r="K911" i="1"/>
  <c r="I911" i="1"/>
  <c r="H911" i="1"/>
  <c r="G911" i="1"/>
  <c r="K910" i="1"/>
  <c r="L910" i="1" s="1"/>
  <c r="L912" i="1" s="1"/>
  <c r="I910" i="1"/>
  <c r="H910" i="1"/>
  <c r="G910" i="1"/>
  <c r="L909" i="1"/>
  <c r="K908" i="1"/>
  <c r="L908" i="1" s="1"/>
  <c r="G908" i="1"/>
  <c r="L907" i="1"/>
  <c r="K907" i="1"/>
  <c r="G907" i="1"/>
  <c r="L905" i="1"/>
  <c r="K905" i="1"/>
  <c r="I905" i="1"/>
  <c r="H905" i="1"/>
  <c r="G905" i="1"/>
  <c r="K904" i="1"/>
  <c r="L904" i="1" s="1"/>
  <c r="I904" i="1"/>
  <c r="H904" i="1"/>
  <c r="G904" i="1"/>
  <c r="L903" i="1"/>
  <c r="K903" i="1"/>
  <c r="G903" i="1"/>
  <c r="L901" i="1"/>
  <c r="L902" i="1" s="1"/>
  <c r="K901" i="1"/>
  <c r="G901" i="1"/>
  <c r="G902" i="1" s="1"/>
  <c r="L900" i="1"/>
  <c r="K900" i="1"/>
  <c r="H900" i="1"/>
  <c r="G900" i="1"/>
  <c r="K898" i="1"/>
  <c r="L898" i="1" s="1"/>
  <c r="I898" i="1"/>
  <c r="H898" i="1"/>
  <c r="G898" i="1"/>
  <c r="L897" i="1"/>
  <c r="L899" i="1" s="1"/>
  <c r="K897" i="1"/>
  <c r="G897" i="1"/>
  <c r="M896" i="1"/>
  <c r="G896" i="1"/>
  <c r="G895" i="1"/>
  <c r="L894" i="1"/>
  <c r="L896" i="1" s="1"/>
  <c r="K894" i="1"/>
  <c r="H894" i="1"/>
  <c r="G894" i="1"/>
  <c r="G893" i="1"/>
  <c r="L892" i="1"/>
  <c r="L893" i="1" s="1"/>
  <c r="K892" i="1"/>
  <c r="H892" i="1"/>
  <c r="G892" i="1"/>
  <c r="K891" i="1"/>
  <c r="L891" i="1" s="1"/>
  <c r="I891" i="1"/>
  <c r="H891" i="1"/>
  <c r="G891" i="1"/>
  <c r="L889" i="1"/>
  <c r="K889" i="1"/>
  <c r="G889" i="1"/>
  <c r="L888" i="1"/>
  <c r="K888" i="1"/>
  <c r="H888" i="1"/>
  <c r="G888" i="1"/>
  <c r="L887" i="1"/>
  <c r="K887" i="1"/>
  <c r="I887" i="1"/>
  <c r="H887" i="1"/>
  <c r="G887" i="1"/>
  <c r="G890" i="1" s="1"/>
  <c r="K885" i="1"/>
  <c r="L885" i="1" s="1"/>
  <c r="I885" i="1"/>
  <c r="H885" i="1"/>
  <c r="G885" i="1"/>
  <c r="K884" i="1"/>
  <c r="L884" i="1" s="1"/>
  <c r="L886" i="1" s="1"/>
  <c r="G884" i="1"/>
  <c r="L882" i="1"/>
  <c r="K882" i="1"/>
  <c r="H882" i="1"/>
  <c r="I882" i="1" s="1"/>
  <c r="G882" i="1"/>
  <c r="K881" i="1"/>
  <c r="L881" i="1" s="1"/>
  <c r="I881" i="1"/>
  <c r="H881" i="1"/>
  <c r="G881" i="1"/>
  <c r="L880" i="1"/>
  <c r="L883" i="1" s="1"/>
  <c r="K880" i="1"/>
  <c r="G880" i="1"/>
  <c r="L878" i="1"/>
  <c r="K878" i="1"/>
  <c r="I878" i="1"/>
  <c r="H878" i="1"/>
  <c r="G878" i="1"/>
  <c r="K877" i="1"/>
  <c r="L877" i="1" s="1"/>
  <c r="I877" i="1"/>
  <c r="H877" i="1"/>
  <c r="G877" i="1"/>
  <c r="K876" i="1"/>
  <c r="L876" i="1" s="1"/>
  <c r="L879" i="1" s="1"/>
  <c r="G876" i="1"/>
  <c r="L874" i="1"/>
  <c r="K874" i="1"/>
  <c r="G874" i="1"/>
  <c r="L873" i="1"/>
  <c r="K873" i="1"/>
  <c r="H873" i="1"/>
  <c r="I873" i="1" s="1"/>
  <c r="G873" i="1"/>
  <c r="K872" i="1"/>
  <c r="L872" i="1" s="1"/>
  <c r="I872" i="1"/>
  <c r="H872" i="1"/>
  <c r="G872" i="1"/>
  <c r="K871" i="1"/>
  <c r="L871" i="1" s="1"/>
  <c r="G871" i="1"/>
  <c r="L870" i="1"/>
  <c r="L875" i="1" s="1"/>
  <c r="K870" i="1"/>
  <c r="G870" i="1"/>
  <c r="L869" i="1"/>
  <c r="K869" i="1"/>
  <c r="H869" i="1"/>
  <c r="G869" i="1"/>
  <c r="K867" i="1"/>
  <c r="L867" i="1" s="1"/>
  <c r="I867" i="1"/>
  <c r="H867" i="1"/>
  <c r="G867" i="1"/>
  <c r="K866" i="1"/>
  <c r="L866" i="1" s="1"/>
  <c r="G866" i="1"/>
  <c r="L865" i="1"/>
  <c r="K865" i="1"/>
  <c r="H865" i="1"/>
  <c r="G865" i="1"/>
  <c r="L864" i="1"/>
  <c r="K864" i="1"/>
  <c r="I864" i="1"/>
  <c r="H864" i="1"/>
  <c r="G864" i="1"/>
  <c r="K863" i="1"/>
  <c r="L863" i="1" s="1"/>
  <c r="I863" i="1"/>
  <c r="H863" i="1"/>
  <c r="G863" i="1"/>
  <c r="G868" i="1" s="1"/>
  <c r="M862" i="1"/>
  <c r="L862" i="1"/>
  <c r="F862" i="1"/>
  <c r="G861" i="1"/>
  <c r="L860" i="1"/>
  <c r="K860" i="1"/>
  <c r="G860" i="1"/>
  <c r="L858" i="1"/>
  <c r="K858" i="1"/>
  <c r="I858" i="1"/>
  <c r="H858" i="1"/>
  <c r="G858" i="1"/>
  <c r="K857" i="1"/>
  <c r="L857" i="1" s="1"/>
  <c r="I857" i="1"/>
  <c r="H857" i="1"/>
  <c r="G857" i="1"/>
  <c r="L856" i="1"/>
  <c r="L859" i="1" s="1"/>
  <c r="K856" i="1"/>
  <c r="G856" i="1"/>
  <c r="G855" i="1"/>
  <c r="F855" i="1"/>
  <c r="K854" i="1"/>
  <c r="L854" i="1" s="1"/>
  <c r="I854" i="1"/>
  <c r="H854" i="1"/>
  <c r="G854" i="1"/>
  <c r="K853" i="1"/>
  <c r="L853" i="1" s="1"/>
  <c r="G853" i="1"/>
  <c r="L852" i="1"/>
  <c r="K852" i="1"/>
  <c r="H852" i="1"/>
  <c r="G852" i="1"/>
  <c r="F851" i="1"/>
  <c r="L850" i="1"/>
  <c r="K850" i="1"/>
  <c r="G850" i="1"/>
  <c r="L849" i="1"/>
  <c r="K849" i="1"/>
  <c r="G849" i="1"/>
  <c r="L848" i="1"/>
  <c r="K848" i="1"/>
  <c r="H848" i="1"/>
  <c r="I848" i="1" s="1"/>
  <c r="G848" i="1"/>
  <c r="K847" i="1"/>
  <c r="L847" i="1" s="1"/>
  <c r="I847" i="1"/>
  <c r="H847" i="1"/>
  <c r="G847" i="1"/>
  <c r="G851" i="1" s="1"/>
  <c r="K845" i="1"/>
  <c r="L845" i="1" s="1"/>
  <c r="L846" i="1" s="1"/>
  <c r="G845" i="1"/>
  <c r="L844" i="1"/>
  <c r="K844" i="1"/>
  <c r="H844" i="1"/>
  <c r="G844" i="1"/>
  <c r="L843" i="1"/>
  <c r="K843" i="1"/>
  <c r="I843" i="1"/>
  <c r="H843" i="1"/>
  <c r="G843" i="1"/>
  <c r="K841" i="1"/>
  <c r="L841" i="1" s="1"/>
  <c r="G841" i="1"/>
  <c r="L840" i="1"/>
  <c r="K840" i="1"/>
  <c r="H840" i="1"/>
  <c r="G840" i="1"/>
  <c r="K839" i="1"/>
  <c r="L839" i="1" s="1"/>
  <c r="H839" i="1"/>
  <c r="G839" i="1"/>
  <c r="K837" i="1"/>
  <c r="L837" i="1" s="1"/>
  <c r="I837" i="1"/>
  <c r="G837" i="1"/>
  <c r="H837" i="1" s="1"/>
  <c r="K836" i="1"/>
  <c r="L836" i="1" s="1"/>
  <c r="G836" i="1"/>
  <c r="L835" i="1"/>
  <c r="K835" i="1"/>
  <c r="H835" i="1"/>
  <c r="G835" i="1"/>
  <c r="G834" i="1"/>
  <c r="K833" i="1"/>
  <c r="L833" i="1" s="1"/>
  <c r="I833" i="1"/>
  <c r="H833" i="1"/>
  <c r="G833" i="1"/>
  <c r="K832" i="1"/>
  <c r="L832" i="1" s="1"/>
  <c r="L834" i="1" s="1"/>
  <c r="I832" i="1"/>
  <c r="G832" i="1"/>
  <c r="H832" i="1" s="1"/>
  <c r="H834" i="1" s="1"/>
  <c r="L830" i="1"/>
  <c r="K830" i="1"/>
  <c r="G830" i="1"/>
  <c r="L829" i="1"/>
  <c r="K829" i="1"/>
  <c r="H829" i="1"/>
  <c r="G829" i="1"/>
  <c r="K828" i="1"/>
  <c r="L828" i="1" s="1"/>
  <c r="L831" i="1" s="1"/>
  <c r="H828" i="1"/>
  <c r="G828" i="1"/>
  <c r="K826" i="1"/>
  <c r="L826" i="1" s="1"/>
  <c r="G826" i="1"/>
  <c r="H826" i="1" s="1"/>
  <c r="I826" i="1" s="1"/>
  <c r="K825" i="1"/>
  <c r="L825" i="1" s="1"/>
  <c r="L827" i="1" s="1"/>
  <c r="G825" i="1"/>
  <c r="L824" i="1"/>
  <c r="L823" i="1"/>
  <c r="K823" i="1"/>
  <c r="H823" i="1"/>
  <c r="G823" i="1"/>
  <c r="K822" i="1"/>
  <c r="L822" i="1" s="1"/>
  <c r="H822" i="1"/>
  <c r="I822" i="1" s="1"/>
  <c r="G822" i="1"/>
  <c r="K821" i="1"/>
  <c r="L821" i="1" s="1"/>
  <c r="G821" i="1"/>
  <c r="H821" i="1" s="1"/>
  <c r="K819" i="1"/>
  <c r="L819" i="1" s="1"/>
  <c r="G819" i="1"/>
  <c r="L818" i="1"/>
  <c r="K818" i="1"/>
  <c r="H818" i="1"/>
  <c r="G818" i="1"/>
  <c r="K817" i="1"/>
  <c r="L817" i="1" s="1"/>
  <c r="H817" i="1"/>
  <c r="G817" i="1"/>
  <c r="K815" i="1"/>
  <c r="L815" i="1" s="1"/>
  <c r="G815" i="1"/>
  <c r="H815" i="1" s="1"/>
  <c r="I815" i="1" s="1"/>
  <c r="K814" i="1"/>
  <c r="L814" i="1" s="1"/>
  <c r="G814" i="1"/>
  <c r="L813" i="1"/>
  <c r="K813" i="1"/>
  <c r="H813" i="1"/>
  <c r="G813" i="1"/>
  <c r="K811" i="1"/>
  <c r="L811" i="1" s="1"/>
  <c r="H811" i="1"/>
  <c r="I811" i="1" s="1"/>
  <c r="G811" i="1"/>
  <c r="K810" i="1"/>
  <c r="L810" i="1" s="1"/>
  <c r="G810" i="1"/>
  <c r="H810" i="1" s="1"/>
  <c r="K809" i="1"/>
  <c r="L809" i="1" s="1"/>
  <c r="G809" i="1"/>
  <c r="L808" i="1"/>
  <c r="K808" i="1"/>
  <c r="H808" i="1"/>
  <c r="I808" i="1" s="1"/>
  <c r="G808" i="1"/>
  <c r="G812" i="1" s="1"/>
  <c r="K806" i="1"/>
  <c r="L806" i="1" s="1"/>
  <c r="I806" i="1"/>
  <c r="H806" i="1"/>
  <c r="G806" i="1"/>
  <c r="K805" i="1"/>
  <c r="L805" i="1" s="1"/>
  <c r="G805" i="1"/>
  <c r="H805" i="1" s="1"/>
  <c r="K804" i="1"/>
  <c r="L804" i="1" s="1"/>
  <c r="G804" i="1"/>
  <c r="L802" i="1"/>
  <c r="K802" i="1"/>
  <c r="G802" i="1"/>
  <c r="H802" i="1" s="1"/>
  <c r="I802" i="1" s="1"/>
  <c r="K801" i="1"/>
  <c r="L801" i="1" s="1"/>
  <c r="I801" i="1"/>
  <c r="H801" i="1"/>
  <c r="G801" i="1"/>
  <c r="K800" i="1"/>
  <c r="L800" i="1" s="1"/>
  <c r="G800" i="1"/>
  <c r="H800" i="1" s="1"/>
  <c r="K799" i="1"/>
  <c r="L799" i="1" s="1"/>
  <c r="G799" i="1"/>
  <c r="L798" i="1"/>
  <c r="K798" i="1"/>
  <c r="H798" i="1"/>
  <c r="I798" i="1" s="1"/>
  <c r="G798" i="1"/>
  <c r="K797" i="1"/>
  <c r="L797" i="1" s="1"/>
  <c r="H797" i="1"/>
  <c r="I797" i="1" s="1"/>
  <c r="G797" i="1"/>
  <c r="L796" i="1"/>
  <c r="K796" i="1"/>
  <c r="I796" i="1"/>
  <c r="G796" i="1"/>
  <c r="H796" i="1" s="1"/>
  <c r="L795" i="1"/>
  <c r="K795" i="1"/>
  <c r="H795" i="1"/>
  <c r="G795" i="1"/>
  <c r="L794" i="1"/>
  <c r="K794" i="1"/>
  <c r="G794" i="1"/>
  <c r="K793" i="1"/>
  <c r="L793" i="1" s="1"/>
  <c r="I793" i="1"/>
  <c r="H793" i="1"/>
  <c r="G793" i="1"/>
  <c r="K792" i="1"/>
  <c r="L792" i="1" s="1"/>
  <c r="G792" i="1"/>
  <c r="K791" i="1"/>
  <c r="L791" i="1" s="1"/>
  <c r="H791" i="1"/>
  <c r="G791" i="1"/>
  <c r="I791" i="1" s="1"/>
  <c r="L790" i="1"/>
  <c r="K790" i="1"/>
  <c r="G790" i="1"/>
  <c r="H790" i="1" s="1"/>
  <c r="I790" i="1" s="1"/>
  <c r="K789" i="1"/>
  <c r="L789" i="1" s="1"/>
  <c r="H789" i="1"/>
  <c r="I789" i="1" s="1"/>
  <c r="G789" i="1"/>
  <c r="L788" i="1"/>
  <c r="K788" i="1"/>
  <c r="G788" i="1"/>
  <c r="K787" i="1"/>
  <c r="L787" i="1" s="1"/>
  <c r="H787" i="1"/>
  <c r="G787" i="1"/>
  <c r="L785" i="1"/>
  <c r="K785" i="1"/>
  <c r="I785" i="1"/>
  <c r="G785" i="1"/>
  <c r="H785" i="1" s="1"/>
  <c r="K784" i="1"/>
  <c r="L784" i="1" s="1"/>
  <c r="H784" i="1"/>
  <c r="I784" i="1" s="1"/>
  <c r="G784" i="1"/>
  <c r="L783" i="1"/>
  <c r="K783" i="1"/>
  <c r="G783" i="1"/>
  <c r="G782" i="1"/>
  <c r="I782" i="1" s="1"/>
  <c r="K781" i="1"/>
  <c r="L781" i="1" s="1"/>
  <c r="H781" i="1"/>
  <c r="G781" i="1"/>
  <c r="I781" i="1" s="1"/>
  <c r="L780" i="1"/>
  <c r="L782" i="1" s="1"/>
  <c r="K780" i="1"/>
  <c r="G780" i="1"/>
  <c r="H780" i="1" s="1"/>
  <c r="H782" i="1" s="1"/>
  <c r="K778" i="1"/>
  <c r="L778" i="1" s="1"/>
  <c r="H778" i="1"/>
  <c r="I778" i="1" s="1"/>
  <c r="G778" i="1"/>
  <c r="L777" i="1"/>
  <c r="L779" i="1" s="1"/>
  <c r="K777" i="1"/>
  <c r="G777" i="1"/>
  <c r="M776" i="1"/>
  <c r="F776" i="1"/>
  <c r="K775" i="1"/>
  <c r="L775" i="1" s="1"/>
  <c r="H775" i="1"/>
  <c r="I775" i="1" s="1"/>
  <c r="G775" i="1"/>
  <c r="L774" i="1"/>
  <c r="K774" i="1"/>
  <c r="G774" i="1"/>
  <c r="K773" i="1"/>
  <c r="L773" i="1" s="1"/>
  <c r="H773" i="1"/>
  <c r="G773" i="1"/>
  <c r="I773" i="1" s="1"/>
  <c r="L772" i="1"/>
  <c r="K772" i="1"/>
  <c r="G772" i="1"/>
  <c r="H772" i="1" s="1"/>
  <c r="I772" i="1" s="1"/>
  <c r="K771" i="1"/>
  <c r="L771" i="1" s="1"/>
  <c r="H771" i="1"/>
  <c r="I771" i="1" s="1"/>
  <c r="G771" i="1"/>
  <c r="L770" i="1"/>
  <c r="K770" i="1"/>
  <c r="G770" i="1"/>
  <c r="K769" i="1"/>
  <c r="L769" i="1" s="1"/>
  <c r="H769" i="1"/>
  <c r="G769" i="1"/>
  <c r="I769" i="1" s="1"/>
  <c r="L768" i="1"/>
  <c r="K768" i="1"/>
  <c r="G768" i="1"/>
  <c r="K766" i="1"/>
  <c r="L766" i="1" s="1"/>
  <c r="H766" i="1"/>
  <c r="I766" i="1" s="1"/>
  <c r="G766" i="1"/>
  <c r="L765" i="1"/>
  <c r="K765" i="1"/>
  <c r="G765" i="1"/>
  <c r="K764" i="1"/>
  <c r="L764" i="1" s="1"/>
  <c r="H764" i="1"/>
  <c r="G764" i="1"/>
  <c r="L763" i="1"/>
  <c r="K763" i="1"/>
  <c r="I763" i="1"/>
  <c r="G763" i="1"/>
  <c r="H763" i="1" s="1"/>
  <c r="K762" i="1"/>
  <c r="L762" i="1" s="1"/>
  <c r="H762" i="1"/>
  <c r="I762" i="1" s="1"/>
  <c r="G762" i="1"/>
  <c r="L761" i="1"/>
  <c r="K761" i="1"/>
  <c r="G761" i="1"/>
  <c r="G760" i="1"/>
  <c r="K759" i="1"/>
  <c r="L759" i="1" s="1"/>
  <c r="H759" i="1"/>
  <c r="G759" i="1"/>
  <c r="I759" i="1" s="1"/>
  <c r="L758" i="1"/>
  <c r="K758" i="1"/>
  <c r="G758" i="1"/>
  <c r="H758" i="1" s="1"/>
  <c r="I758" i="1" s="1"/>
  <c r="K757" i="1"/>
  <c r="L757" i="1" s="1"/>
  <c r="L760" i="1" s="1"/>
  <c r="H757" i="1"/>
  <c r="I757" i="1" s="1"/>
  <c r="G757" i="1"/>
  <c r="L755" i="1"/>
  <c r="K755" i="1"/>
  <c r="G755" i="1"/>
  <c r="K754" i="1"/>
  <c r="L754" i="1" s="1"/>
  <c r="H754" i="1"/>
  <c r="G754" i="1"/>
  <c r="L753" i="1"/>
  <c r="K753" i="1"/>
  <c r="I753" i="1"/>
  <c r="G753" i="1"/>
  <c r="H753" i="1" s="1"/>
  <c r="L751" i="1"/>
  <c r="K751" i="1"/>
  <c r="G751" i="1"/>
  <c r="K750" i="1"/>
  <c r="L750" i="1" s="1"/>
  <c r="L752" i="1" s="1"/>
  <c r="M752" i="1" s="1"/>
  <c r="H750" i="1"/>
  <c r="G750" i="1"/>
  <c r="I750" i="1" s="1"/>
  <c r="L749" i="1"/>
  <c r="K749" i="1"/>
  <c r="G749" i="1"/>
  <c r="H749" i="1" s="1"/>
  <c r="I749" i="1" s="1"/>
  <c r="K748" i="1"/>
  <c r="L748" i="1" s="1"/>
  <c r="H748" i="1"/>
  <c r="I748" i="1" s="1"/>
  <c r="G748" i="1"/>
  <c r="G752" i="1" s="1"/>
  <c r="L746" i="1"/>
  <c r="K746" i="1"/>
  <c r="G746" i="1"/>
  <c r="K745" i="1"/>
  <c r="L745" i="1" s="1"/>
  <c r="L747" i="1" s="1"/>
  <c r="H745" i="1"/>
  <c r="G745" i="1"/>
  <c r="I745" i="1" s="1"/>
  <c r="L744" i="1"/>
  <c r="K744" i="1"/>
  <c r="G744" i="1"/>
  <c r="H744" i="1" s="1"/>
  <c r="K742" i="1"/>
  <c r="L742" i="1" s="1"/>
  <c r="H742" i="1"/>
  <c r="I742" i="1" s="1"/>
  <c r="G742" i="1"/>
  <c r="L741" i="1"/>
  <c r="K741" i="1"/>
  <c r="G741" i="1"/>
  <c r="K740" i="1"/>
  <c r="L740" i="1" s="1"/>
  <c r="H740" i="1"/>
  <c r="G740" i="1"/>
  <c r="G743" i="1" s="1"/>
  <c r="L738" i="1"/>
  <c r="K738" i="1"/>
  <c r="I738" i="1"/>
  <c r="G738" i="1"/>
  <c r="H738" i="1" s="1"/>
  <c r="K737" i="1"/>
  <c r="L737" i="1" s="1"/>
  <c r="H737" i="1"/>
  <c r="I737" i="1" s="1"/>
  <c r="G737" i="1"/>
  <c r="L736" i="1"/>
  <c r="K736" i="1"/>
  <c r="G736" i="1"/>
  <c r="G735" i="1"/>
  <c r="K734" i="1"/>
  <c r="L734" i="1" s="1"/>
  <c r="H734" i="1"/>
  <c r="G734" i="1"/>
  <c r="I734" i="1" s="1"/>
  <c r="L733" i="1"/>
  <c r="K733" i="1"/>
  <c r="G733" i="1"/>
  <c r="H733" i="1" s="1"/>
  <c r="I733" i="1" s="1"/>
  <c r="K732" i="1"/>
  <c r="L732" i="1" s="1"/>
  <c r="L735" i="1" s="1"/>
  <c r="H732" i="1"/>
  <c r="I732" i="1" s="1"/>
  <c r="G732" i="1"/>
  <c r="L730" i="1"/>
  <c r="K730" i="1"/>
  <c r="G730" i="1"/>
  <c r="K729" i="1"/>
  <c r="L729" i="1" s="1"/>
  <c r="L731" i="1" s="1"/>
  <c r="H729" i="1"/>
  <c r="G729" i="1"/>
  <c r="L728" i="1"/>
  <c r="K728" i="1"/>
  <c r="I728" i="1"/>
  <c r="G728" i="1"/>
  <c r="H728" i="1" s="1"/>
  <c r="K726" i="1"/>
  <c r="L726" i="1" s="1"/>
  <c r="H726" i="1"/>
  <c r="I726" i="1" s="1"/>
  <c r="G726" i="1"/>
  <c r="L725" i="1"/>
  <c r="K725" i="1"/>
  <c r="G725" i="1"/>
  <c r="K724" i="1"/>
  <c r="L724" i="1" s="1"/>
  <c r="H724" i="1"/>
  <c r="G724" i="1"/>
  <c r="I724" i="1" s="1"/>
  <c r="L723" i="1"/>
  <c r="K723" i="1"/>
  <c r="G723" i="1"/>
  <c r="H723" i="1" s="1"/>
  <c r="I723" i="1" s="1"/>
  <c r="K722" i="1"/>
  <c r="L722" i="1" s="1"/>
  <c r="H722" i="1"/>
  <c r="I722" i="1" s="1"/>
  <c r="G722" i="1"/>
  <c r="L721" i="1"/>
  <c r="K721" i="1"/>
  <c r="G721" i="1"/>
  <c r="K720" i="1"/>
  <c r="L720" i="1" s="1"/>
  <c r="H720" i="1"/>
  <c r="G720" i="1"/>
  <c r="I720" i="1" s="1"/>
  <c r="L719" i="1"/>
  <c r="K719" i="1"/>
  <c r="G719" i="1"/>
  <c r="H719" i="1" s="1"/>
  <c r="I719" i="1" s="1"/>
  <c r="K718" i="1"/>
  <c r="L718" i="1" s="1"/>
  <c r="H718" i="1"/>
  <c r="I718" i="1" s="1"/>
  <c r="G718" i="1"/>
  <c r="L717" i="1"/>
  <c r="K717" i="1"/>
  <c r="G717" i="1"/>
  <c r="K716" i="1"/>
  <c r="L716" i="1" s="1"/>
  <c r="H716" i="1"/>
  <c r="G716" i="1"/>
  <c r="L715" i="1"/>
  <c r="K715" i="1"/>
  <c r="I715" i="1"/>
  <c r="G715" i="1"/>
  <c r="H715" i="1" s="1"/>
  <c r="K713" i="1"/>
  <c r="L713" i="1" s="1"/>
  <c r="H713" i="1"/>
  <c r="I713" i="1" s="1"/>
  <c r="G713" i="1"/>
  <c r="L712" i="1"/>
  <c r="K712" i="1"/>
  <c r="G712" i="1"/>
  <c r="K711" i="1"/>
  <c r="L711" i="1" s="1"/>
  <c r="H711" i="1"/>
  <c r="G711" i="1"/>
  <c r="I711" i="1" s="1"/>
  <c r="L710" i="1"/>
  <c r="K710" i="1"/>
  <c r="G710" i="1"/>
  <c r="H710" i="1" s="1"/>
  <c r="I710" i="1" s="1"/>
  <c r="K709" i="1"/>
  <c r="L709" i="1" s="1"/>
  <c r="H709" i="1"/>
  <c r="I709" i="1" s="1"/>
  <c r="G709" i="1"/>
  <c r="L708" i="1"/>
  <c r="K708" i="1"/>
  <c r="G708" i="1"/>
  <c r="K707" i="1"/>
  <c r="L707" i="1" s="1"/>
  <c r="H707" i="1"/>
  <c r="G707" i="1"/>
  <c r="I707" i="1" s="1"/>
  <c r="L706" i="1"/>
  <c r="K706" i="1"/>
  <c r="G706" i="1"/>
  <c r="H706" i="1" s="1"/>
  <c r="I706" i="1" s="1"/>
  <c r="K705" i="1"/>
  <c r="L705" i="1" s="1"/>
  <c r="H705" i="1"/>
  <c r="I705" i="1" s="1"/>
  <c r="G705" i="1"/>
  <c r="L704" i="1"/>
  <c r="K704" i="1"/>
  <c r="G704" i="1"/>
  <c r="G703" i="1"/>
  <c r="K702" i="1"/>
  <c r="L702" i="1" s="1"/>
  <c r="H702" i="1"/>
  <c r="G702" i="1"/>
  <c r="I702" i="1" s="1"/>
  <c r="L701" i="1"/>
  <c r="K701" i="1"/>
  <c r="G701" i="1"/>
  <c r="H701" i="1" s="1"/>
  <c r="I701" i="1" s="1"/>
  <c r="K700" i="1"/>
  <c r="L700" i="1" s="1"/>
  <c r="H700" i="1"/>
  <c r="I700" i="1" s="1"/>
  <c r="G700" i="1"/>
  <c r="L698" i="1"/>
  <c r="K698" i="1"/>
  <c r="G698" i="1"/>
  <c r="K697" i="1"/>
  <c r="L697" i="1" s="1"/>
  <c r="L699" i="1" s="1"/>
  <c r="H697" i="1"/>
  <c r="G697" i="1"/>
  <c r="I697" i="1" s="1"/>
  <c r="L696" i="1"/>
  <c r="H696" i="1"/>
  <c r="G696" i="1"/>
  <c r="G699" i="1" s="1"/>
  <c r="L694" i="1"/>
  <c r="K694" i="1"/>
  <c r="G694" i="1"/>
  <c r="H694" i="1" s="1"/>
  <c r="I694" i="1" s="1"/>
  <c r="K693" i="1"/>
  <c r="L693" i="1" s="1"/>
  <c r="H693" i="1"/>
  <c r="I693" i="1" s="1"/>
  <c r="G693" i="1"/>
  <c r="L692" i="1"/>
  <c r="K692" i="1"/>
  <c r="G692" i="1"/>
  <c r="K691" i="1"/>
  <c r="L691" i="1" s="1"/>
  <c r="H691" i="1"/>
  <c r="G691" i="1"/>
  <c r="L690" i="1"/>
  <c r="K690" i="1"/>
  <c r="G690" i="1"/>
  <c r="K689" i="1"/>
  <c r="L689" i="1" s="1"/>
  <c r="H689" i="1"/>
  <c r="I689" i="1" s="1"/>
  <c r="G689" i="1"/>
  <c r="F687" i="1"/>
  <c r="G686" i="1"/>
  <c r="K685" i="1"/>
  <c r="G685" i="1"/>
  <c r="K684" i="1"/>
  <c r="L684" i="1" s="1"/>
  <c r="H684" i="1"/>
  <c r="G684" i="1"/>
  <c r="L683" i="1"/>
  <c r="K683" i="1"/>
  <c r="I683" i="1"/>
  <c r="G683" i="1"/>
  <c r="H683" i="1" s="1"/>
  <c r="K682" i="1"/>
  <c r="L682" i="1" s="1"/>
  <c r="H682" i="1"/>
  <c r="I682" i="1" s="1"/>
  <c r="G682" i="1"/>
  <c r="L681" i="1"/>
  <c r="K681" i="1"/>
  <c r="G681" i="1"/>
  <c r="K680" i="1"/>
  <c r="L680" i="1" s="1"/>
  <c r="H680" i="1"/>
  <c r="G680" i="1"/>
  <c r="I680" i="1" s="1"/>
  <c r="L679" i="1"/>
  <c r="K679" i="1"/>
  <c r="G679" i="1"/>
  <c r="H679" i="1" s="1"/>
  <c r="I679" i="1" s="1"/>
  <c r="K678" i="1"/>
  <c r="L678" i="1" s="1"/>
  <c r="H678" i="1"/>
  <c r="I678" i="1" s="1"/>
  <c r="G678" i="1"/>
  <c r="L677" i="1"/>
  <c r="K677" i="1"/>
  <c r="G677" i="1"/>
  <c r="K676" i="1"/>
  <c r="L676" i="1" s="1"/>
  <c r="H676" i="1"/>
  <c r="G676" i="1"/>
  <c r="L675" i="1"/>
  <c r="K675" i="1"/>
  <c r="G675" i="1"/>
  <c r="H675" i="1" s="1"/>
  <c r="I675" i="1" s="1"/>
  <c r="K674" i="1"/>
  <c r="L674" i="1" s="1"/>
  <c r="H674" i="1"/>
  <c r="I674" i="1" s="1"/>
  <c r="G674" i="1"/>
  <c r="L673" i="1"/>
  <c r="K673" i="1"/>
  <c r="G673" i="1"/>
  <c r="G672" i="1"/>
  <c r="K671" i="1"/>
  <c r="L671" i="1" s="1"/>
  <c r="H671" i="1"/>
  <c r="G671" i="1"/>
  <c r="L670" i="1"/>
  <c r="K670" i="1"/>
  <c r="I670" i="1"/>
  <c r="G670" i="1"/>
  <c r="H670" i="1" s="1"/>
  <c r="K669" i="1"/>
  <c r="L669" i="1" s="1"/>
  <c r="L672" i="1" s="1"/>
  <c r="H669" i="1"/>
  <c r="I669" i="1" s="1"/>
  <c r="G669" i="1"/>
  <c r="K667" i="1"/>
  <c r="L667" i="1" s="1"/>
  <c r="H667" i="1"/>
  <c r="G667" i="1"/>
  <c r="L666" i="1"/>
  <c r="K666" i="1"/>
  <c r="I666" i="1"/>
  <c r="G666" i="1"/>
  <c r="H666" i="1" s="1"/>
  <c r="K664" i="1"/>
  <c r="L664" i="1" s="1"/>
  <c r="H664" i="1"/>
  <c r="I664" i="1" s="1"/>
  <c r="G664" i="1"/>
  <c r="L663" i="1"/>
  <c r="K663" i="1"/>
  <c r="G663" i="1"/>
  <c r="K662" i="1"/>
  <c r="L662" i="1" s="1"/>
  <c r="H662" i="1"/>
  <c r="G662" i="1"/>
  <c r="I662" i="1" s="1"/>
  <c r="L661" i="1"/>
  <c r="K661" i="1"/>
  <c r="G661" i="1"/>
  <c r="H661" i="1" s="1"/>
  <c r="K659" i="1"/>
  <c r="L659" i="1" s="1"/>
  <c r="H659" i="1"/>
  <c r="I659" i="1" s="1"/>
  <c r="G659" i="1"/>
  <c r="L658" i="1"/>
  <c r="K658" i="1"/>
  <c r="G658" i="1"/>
  <c r="K657" i="1"/>
  <c r="L657" i="1" s="1"/>
  <c r="H657" i="1"/>
  <c r="G657" i="1"/>
  <c r="I657" i="1" s="1"/>
  <c r="L656" i="1"/>
  <c r="K656" i="1"/>
  <c r="G656" i="1"/>
  <c r="H656" i="1" s="1"/>
  <c r="I656" i="1" s="1"/>
  <c r="K655" i="1"/>
  <c r="L655" i="1" s="1"/>
  <c r="H655" i="1"/>
  <c r="I655" i="1" s="1"/>
  <c r="G655" i="1"/>
  <c r="L654" i="1"/>
  <c r="K654" i="1"/>
  <c r="G654" i="1"/>
  <c r="K653" i="1"/>
  <c r="L653" i="1" s="1"/>
  <c r="H653" i="1"/>
  <c r="G653" i="1"/>
  <c r="L652" i="1"/>
  <c r="K652" i="1"/>
  <c r="I652" i="1"/>
  <c r="G652" i="1"/>
  <c r="H652" i="1" s="1"/>
  <c r="L651" i="1"/>
  <c r="G651" i="1"/>
  <c r="H651" i="1" s="1"/>
  <c r="I651" i="1" s="1"/>
  <c r="K650" i="1"/>
  <c r="L650" i="1" s="1"/>
  <c r="H650" i="1"/>
  <c r="I650" i="1" s="1"/>
  <c r="G650" i="1"/>
  <c r="L649" i="1"/>
  <c r="K649" i="1"/>
  <c r="G649" i="1"/>
  <c r="G648" i="1"/>
  <c r="I648" i="1" s="1"/>
  <c r="K647" i="1"/>
  <c r="L647" i="1" s="1"/>
  <c r="L648" i="1" s="1"/>
  <c r="H647" i="1"/>
  <c r="H648" i="1" s="1"/>
  <c r="G647" i="1"/>
  <c r="I647" i="1" s="1"/>
  <c r="L645" i="1"/>
  <c r="K645" i="1"/>
  <c r="G645" i="1"/>
  <c r="H645" i="1" s="1"/>
  <c r="I645" i="1" s="1"/>
  <c r="K644" i="1"/>
  <c r="L644" i="1" s="1"/>
  <c r="H644" i="1"/>
  <c r="I644" i="1" s="1"/>
  <c r="G644" i="1"/>
  <c r="L643" i="1"/>
  <c r="K643" i="1"/>
  <c r="G643" i="1"/>
  <c r="K642" i="1"/>
  <c r="L642" i="1" s="1"/>
  <c r="H642" i="1"/>
  <c r="G642" i="1"/>
  <c r="G646" i="1" s="1"/>
  <c r="L641" i="1"/>
  <c r="K641" i="1"/>
  <c r="G641" i="1"/>
  <c r="H641" i="1" s="1"/>
  <c r="I641" i="1" s="1"/>
  <c r="K640" i="1"/>
  <c r="L640" i="1" s="1"/>
  <c r="H640" i="1"/>
  <c r="I640" i="1" s="1"/>
  <c r="G640" i="1"/>
  <c r="L638" i="1"/>
  <c r="K638" i="1"/>
  <c r="G638" i="1"/>
  <c r="K637" i="1"/>
  <c r="L637" i="1" s="1"/>
  <c r="L639" i="1" s="1"/>
  <c r="H637" i="1"/>
  <c r="G637" i="1"/>
  <c r="L635" i="1"/>
  <c r="K635" i="1"/>
  <c r="G635" i="1"/>
  <c r="G636" i="1" s="1"/>
  <c r="K634" i="1"/>
  <c r="L634" i="1" s="1"/>
  <c r="L636" i="1" s="1"/>
  <c r="H634" i="1"/>
  <c r="I634" i="1" s="1"/>
  <c r="G634" i="1"/>
  <c r="L632" i="1"/>
  <c r="K632" i="1"/>
  <c r="G632" i="1"/>
  <c r="K631" i="1"/>
  <c r="L631" i="1" s="1"/>
  <c r="H631" i="1"/>
  <c r="G631" i="1"/>
  <c r="L630" i="1"/>
  <c r="K630" i="1"/>
  <c r="I630" i="1"/>
  <c r="G630" i="1"/>
  <c r="H630" i="1" s="1"/>
  <c r="K629" i="1"/>
  <c r="L629" i="1" s="1"/>
  <c r="H629" i="1"/>
  <c r="I629" i="1" s="1"/>
  <c r="G629" i="1"/>
  <c r="L628" i="1"/>
  <c r="K628" i="1"/>
  <c r="G628" i="1"/>
  <c r="K627" i="1"/>
  <c r="L627" i="1" s="1"/>
  <c r="L633" i="1" s="1"/>
  <c r="H627" i="1"/>
  <c r="G627" i="1"/>
  <c r="L625" i="1"/>
  <c r="K625" i="1"/>
  <c r="G625" i="1"/>
  <c r="G626" i="1" s="1"/>
  <c r="K624" i="1"/>
  <c r="L624" i="1" s="1"/>
  <c r="L626" i="1" s="1"/>
  <c r="H624" i="1"/>
  <c r="I624" i="1" s="1"/>
  <c r="G624" i="1"/>
  <c r="L622" i="1"/>
  <c r="K622" i="1"/>
  <c r="G622" i="1"/>
  <c r="K621" i="1"/>
  <c r="L621" i="1" s="1"/>
  <c r="L623" i="1" s="1"/>
  <c r="H621" i="1"/>
  <c r="G621" i="1"/>
  <c r="L619" i="1"/>
  <c r="K619" i="1"/>
  <c r="G619" i="1"/>
  <c r="G620" i="1" s="1"/>
  <c r="K618" i="1"/>
  <c r="L618" i="1" s="1"/>
  <c r="L620" i="1" s="1"/>
  <c r="H618" i="1"/>
  <c r="I618" i="1" s="1"/>
  <c r="G618" i="1"/>
  <c r="L616" i="1"/>
  <c r="K616" i="1"/>
  <c r="G616" i="1"/>
  <c r="L615" i="1"/>
  <c r="K615" i="1"/>
  <c r="G615" i="1"/>
  <c r="K614" i="1"/>
  <c r="L614" i="1" s="1"/>
  <c r="H614" i="1"/>
  <c r="I614" i="1" s="1"/>
  <c r="G614" i="1"/>
  <c r="K613" i="1"/>
  <c r="L613" i="1" s="1"/>
  <c r="G613" i="1"/>
  <c r="L612" i="1"/>
  <c r="G612" i="1"/>
  <c r="H612" i="1" s="1"/>
  <c r="L611" i="1"/>
  <c r="K611" i="1"/>
  <c r="G611" i="1"/>
  <c r="L610" i="1"/>
  <c r="K610" i="1"/>
  <c r="G610" i="1"/>
  <c r="K609" i="1"/>
  <c r="L609" i="1" s="1"/>
  <c r="H609" i="1"/>
  <c r="I609" i="1" s="1"/>
  <c r="G609" i="1"/>
  <c r="K608" i="1"/>
  <c r="L608" i="1" s="1"/>
  <c r="G608" i="1"/>
  <c r="K607" i="1"/>
  <c r="L607" i="1" s="1"/>
  <c r="G607" i="1"/>
  <c r="L606" i="1"/>
  <c r="K606" i="1"/>
  <c r="H606" i="1"/>
  <c r="I606" i="1" s="1"/>
  <c r="G606" i="1"/>
  <c r="K605" i="1"/>
  <c r="L605" i="1" s="1"/>
  <c r="H605" i="1"/>
  <c r="I605" i="1" s="1"/>
  <c r="G605" i="1"/>
  <c r="K604" i="1"/>
  <c r="L604" i="1" s="1"/>
  <c r="I604" i="1"/>
  <c r="G604" i="1"/>
  <c r="H604" i="1" s="1"/>
  <c r="K603" i="1"/>
  <c r="L603" i="1" s="1"/>
  <c r="H603" i="1"/>
  <c r="G603" i="1"/>
  <c r="G602" i="1"/>
  <c r="L601" i="1"/>
  <c r="K601" i="1"/>
  <c r="H601" i="1"/>
  <c r="I601" i="1" s="1"/>
  <c r="G601" i="1"/>
  <c r="K600" i="1"/>
  <c r="L600" i="1" s="1"/>
  <c r="L602" i="1" s="1"/>
  <c r="H600" i="1"/>
  <c r="G600" i="1"/>
  <c r="K598" i="1"/>
  <c r="L598" i="1" s="1"/>
  <c r="G598" i="1"/>
  <c r="K597" i="1"/>
  <c r="L597" i="1" s="1"/>
  <c r="L599" i="1" s="1"/>
  <c r="G597" i="1"/>
  <c r="K595" i="1"/>
  <c r="L595" i="1" s="1"/>
  <c r="G595" i="1"/>
  <c r="K594" i="1"/>
  <c r="L594" i="1" s="1"/>
  <c r="G594" i="1"/>
  <c r="I594" i="1" s="1"/>
  <c r="K593" i="1"/>
  <c r="G593" i="1"/>
  <c r="H593" i="1" s="1"/>
  <c r="K592" i="1"/>
  <c r="I592" i="1"/>
  <c r="G592" i="1"/>
  <c r="H592" i="1" s="1"/>
  <c r="K591" i="1"/>
  <c r="L591" i="1" s="1"/>
  <c r="H591" i="1"/>
  <c r="G591" i="1"/>
  <c r="L590" i="1"/>
  <c r="K590" i="1"/>
  <c r="G590" i="1"/>
  <c r="H590" i="1" s="1"/>
  <c r="I590" i="1" s="1"/>
  <c r="K589" i="1"/>
  <c r="L589" i="1" s="1"/>
  <c r="I589" i="1"/>
  <c r="H589" i="1"/>
  <c r="G589" i="1"/>
  <c r="K588" i="1"/>
  <c r="L588" i="1" s="1"/>
  <c r="G588" i="1"/>
  <c r="H588" i="1" s="1"/>
  <c r="K587" i="1"/>
  <c r="L587" i="1" s="1"/>
  <c r="G587" i="1"/>
  <c r="L586" i="1"/>
  <c r="K586" i="1"/>
  <c r="G586" i="1"/>
  <c r="K585" i="1"/>
  <c r="L585" i="1" s="1"/>
  <c r="H585" i="1"/>
  <c r="I585" i="1" s="1"/>
  <c r="G585" i="1"/>
  <c r="L584" i="1"/>
  <c r="K584" i="1"/>
  <c r="G584" i="1"/>
  <c r="H584" i="1" s="1"/>
  <c r="L583" i="1"/>
  <c r="K583" i="1"/>
  <c r="G583" i="1"/>
  <c r="L582" i="1"/>
  <c r="K582" i="1"/>
  <c r="G582" i="1"/>
  <c r="K581" i="1"/>
  <c r="L581" i="1" s="1"/>
  <c r="H581" i="1"/>
  <c r="I581" i="1" s="1"/>
  <c r="G581" i="1"/>
  <c r="K580" i="1"/>
  <c r="L580" i="1" s="1"/>
  <c r="G580" i="1"/>
  <c r="K579" i="1"/>
  <c r="G579" i="1"/>
  <c r="H579" i="1" s="1"/>
  <c r="L578" i="1"/>
  <c r="K578" i="1"/>
  <c r="G578" i="1"/>
  <c r="L577" i="1"/>
  <c r="K577" i="1"/>
  <c r="G577" i="1"/>
  <c r="K576" i="1"/>
  <c r="L576" i="1" s="1"/>
  <c r="H576" i="1"/>
  <c r="I576" i="1" s="1"/>
  <c r="G576" i="1"/>
  <c r="K575" i="1"/>
  <c r="L575" i="1" s="1"/>
  <c r="G575" i="1"/>
  <c r="K574" i="1"/>
  <c r="L574" i="1" s="1"/>
  <c r="G574" i="1"/>
  <c r="L573" i="1"/>
  <c r="K573" i="1"/>
  <c r="H573" i="1"/>
  <c r="I573" i="1" s="1"/>
  <c r="G573" i="1"/>
  <c r="K572" i="1"/>
  <c r="L572" i="1" s="1"/>
  <c r="H572" i="1"/>
  <c r="I572" i="1" s="1"/>
  <c r="G572" i="1"/>
  <c r="K570" i="1"/>
  <c r="L570" i="1" s="1"/>
  <c r="L571" i="1" s="1"/>
  <c r="G570" i="1"/>
  <c r="L568" i="1"/>
  <c r="L569" i="1" s="1"/>
  <c r="K568" i="1"/>
  <c r="G568" i="1"/>
  <c r="L566" i="1"/>
  <c r="K566" i="1"/>
  <c r="G566" i="1"/>
  <c r="K565" i="1"/>
  <c r="L565" i="1" s="1"/>
  <c r="L567" i="1" s="1"/>
  <c r="H565" i="1"/>
  <c r="G565" i="1"/>
  <c r="K563" i="1"/>
  <c r="L563" i="1" s="1"/>
  <c r="G563" i="1"/>
  <c r="H563" i="1" s="1"/>
  <c r="K562" i="1"/>
  <c r="L562" i="1" s="1"/>
  <c r="L564" i="1" s="1"/>
  <c r="G562" i="1"/>
  <c r="L560" i="1"/>
  <c r="K560" i="1"/>
  <c r="G560" i="1"/>
  <c r="H560" i="1" s="1"/>
  <c r="I560" i="1" s="1"/>
  <c r="K559" i="1"/>
  <c r="L559" i="1" s="1"/>
  <c r="I559" i="1"/>
  <c r="H559" i="1"/>
  <c r="G559" i="1"/>
  <c r="K558" i="1"/>
  <c r="L558" i="1" s="1"/>
  <c r="L561" i="1" s="1"/>
  <c r="G558" i="1"/>
  <c r="H558" i="1" s="1"/>
  <c r="K556" i="1"/>
  <c r="L556" i="1" s="1"/>
  <c r="L557" i="1" s="1"/>
  <c r="H556" i="1"/>
  <c r="G556" i="1"/>
  <c r="L555" i="1"/>
  <c r="K555" i="1"/>
  <c r="G555" i="1"/>
  <c r="G557" i="1" s="1"/>
  <c r="K553" i="1"/>
  <c r="L553" i="1" s="1"/>
  <c r="H553" i="1"/>
  <c r="I553" i="1" s="1"/>
  <c r="G553" i="1"/>
  <c r="K552" i="1"/>
  <c r="L552" i="1" s="1"/>
  <c r="I552" i="1"/>
  <c r="G552" i="1"/>
  <c r="H552" i="1" s="1"/>
  <c r="K551" i="1"/>
  <c r="L551" i="1" s="1"/>
  <c r="H551" i="1"/>
  <c r="G551" i="1"/>
  <c r="L550" i="1"/>
  <c r="K550" i="1"/>
  <c r="G550" i="1"/>
  <c r="H550" i="1" s="1"/>
  <c r="I550" i="1" s="1"/>
  <c r="K549" i="1"/>
  <c r="L549" i="1" s="1"/>
  <c r="I549" i="1"/>
  <c r="H549" i="1"/>
  <c r="G549" i="1"/>
  <c r="K548" i="1"/>
  <c r="L548" i="1" s="1"/>
  <c r="G548" i="1"/>
  <c r="H548" i="1" s="1"/>
  <c r="K547" i="1"/>
  <c r="L547" i="1" s="1"/>
  <c r="G547" i="1"/>
  <c r="L546" i="1"/>
  <c r="K546" i="1"/>
  <c r="G546" i="1"/>
  <c r="K545" i="1"/>
  <c r="L545" i="1" s="1"/>
  <c r="H545" i="1"/>
  <c r="I545" i="1" s="1"/>
  <c r="G545" i="1"/>
  <c r="L544" i="1"/>
  <c r="K544" i="1"/>
  <c r="G544" i="1"/>
  <c r="H544" i="1" s="1"/>
  <c r="L543" i="1"/>
  <c r="K543" i="1"/>
  <c r="G543" i="1"/>
  <c r="L542" i="1"/>
  <c r="K542" i="1"/>
  <c r="G542" i="1"/>
  <c r="K541" i="1"/>
  <c r="L541" i="1" s="1"/>
  <c r="H541" i="1"/>
  <c r="I541" i="1" s="1"/>
  <c r="G541" i="1"/>
  <c r="K540" i="1"/>
  <c r="L540" i="1" s="1"/>
  <c r="G540" i="1"/>
  <c r="K539" i="1"/>
  <c r="L539" i="1" s="1"/>
  <c r="G539" i="1"/>
  <c r="L538" i="1"/>
  <c r="K538" i="1"/>
  <c r="H538" i="1"/>
  <c r="I538" i="1" s="1"/>
  <c r="G538" i="1"/>
  <c r="K537" i="1"/>
  <c r="L537" i="1" s="1"/>
  <c r="H537" i="1"/>
  <c r="I537" i="1" s="1"/>
  <c r="G537" i="1"/>
  <c r="K536" i="1"/>
  <c r="L536" i="1" s="1"/>
  <c r="I536" i="1"/>
  <c r="G536" i="1"/>
  <c r="H536" i="1" s="1"/>
  <c r="K535" i="1"/>
  <c r="L535" i="1" s="1"/>
  <c r="H535" i="1"/>
  <c r="G535" i="1"/>
  <c r="L534" i="1"/>
  <c r="K534" i="1"/>
  <c r="I534" i="1"/>
  <c r="G534" i="1"/>
  <c r="H534" i="1" s="1"/>
  <c r="K533" i="1"/>
  <c r="L533" i="1" s="1"/>
  <c r="I533" i="1"/>
  <c r="H533" i="1"/>
  <c r="G533" i="1"/>
  <c r="K532" i="1"/>
  <c r="L532" i="1" s="1"/>
  <c r="G532" i="1"/>
  <c r="H532" i="1" s="1"/>
  <c r="K531" i="1"/>
  <c r="L531" i="1" s="1"/>
  <c r="G531" i="1"/>
  <c r="L529" i="1"/>
  <c r="K529" i="1"/>
  <c r="G529" i="1"/>
  <c r="H529" i="1" s="1"/>
  <c r="I529" i="1" s="1"/>
  <c r="K528" i="1"/>
  <c r="L528" i="1" s="1"/>
  <c r="I528" i="1"/>
  <c r="H528" i="1"/>
  <c r="G528" i="1"/>
  <c r="K527" i="1"/>
  <c r="L527" i="1" s="1"/>
  <c r="G527" i="1"/>
  <c r="H527" i="1" s="1"/>
  <c r="K526" i="1"/>
  <c r="L526" i="1" s="1"/>
  <c r="G526" i="1"/>
  <c r="L525" i="1"/>
  <c r="K525" i="1"/>
  <c r="G525" i="1"/>
  <c r="K524" i="1"/>
  <c r="L524" i="1" s="1"/>
  <c r="H524" i="1"/>
  <c r="I524" i="1" s="1"/>
  <c r="G524" i="1"/>
  <c r="L523" i="1"/>
  <c r="K523" i="1"/>
  <c r="G523" i="1"/>
  <c r="H523" i="1" s="1"/>
  <c r="L522" i="1"/>
  <c r="K522" i="1"/>
  <c r="G522" i="1"/>
  <c r="L521" i="1"/>
  <c r="L530" i="1" s="1"/>
  <c r="K521" i="1"/>
  <c r="G521" i="1"/>
  <c r="K519" i="1"/>
  <c r="L519" i="1" s="1"/>
  <c r="H519" i="1"/>
  <c r="I519" i="1" s="1"/>
  <c r="G519" i="1"/>
  <c r="L518" i="1"/>
  <c r="K518" i="1"/>
  <c r="G518" i="1"/>
  <c r="H518" i="1" s="1"/>
  <c r="H520" i="1" s="1"/>
  <c r="L517" i="1"/>
  <c r="K516" i="1"/>
  <c r="L516" i="1" s="1"/>
  <c r="G516" i="1"/>
  <c r="L515" i="1"/>
  <c r="K515" i="1"/>
  <c r="G515" i="1"/>
  <c r="K513" i="1"/>
  <c r="L513" i="1" s="1"/>
  <c r="I513" i="1"/>
  <c r="H513" i="1"/>
  <c r="G513" i="1"/>
  <c r="K512" i="1"/>
  <c r="L512" i="1" s="1"/>
  <c r="L514" i="1" s="1"/>
  <c r="G512" i="1"/>
  <c r="H512" i="1" s="1"/>
  <c r="H514" i="1" s="1"/>
  <c r="K510" i="1"/>
  <c r="L510" i="1" s="1"/>
  <c r="L511" i="1" s="1"/>
  <c r="H510" i="1"/>
  <c r="G510" i="1"/>
  <c r="L509" i="1"/>
  <c r="K509" i="1"/>
  <c r="G509" i="1"/>
  <c r="G511" i="1" s="1"/>
  <c r="K507" i="1"/>
  <c r="L507" i="1" s="1"/>
  <c r="H507" i="1"/>
  <c r="I507" i="1" s="1"/>
  <c r="G507" i="1"/>
  <c r="K506" i="1"/>
  <c r="L506" i="1" s="1"/>
  <c r="I506" i="1"/>
  <c r="G506" i="1"/>
  <c r="H506" i="1" s="1"/>
  <c r="K505" i="1"/>
  <c r="L505" i="1" s="1"/>
  <c r="G505" i="1"/>
  <c r="H505" i="1" s="1"/>
  <c r="I505" i="1" s="1"/>
  <c r="K504" i="1"/>
  <c r="L504" i="1" s="1"/>
  <c r="G504" i="1"/>
  <c r="L503" i="1"/>
  <c r="K503" i="1"/>
  <c r="G503" i="1"/>
  <c r="K501" i="1"/>
  <c r="L501" i="1" s="1"/>
  <c r="H501" i="1"/>
  <c r="I501" i="1" s="1"/>
  <c r="G501" i="1"/>
  <c r="K500" i="1"/>
  <c r="L500" i="1" s="1"/>
  <c r="G500" i="1"/>
  <c r="H500" i="1" s="1"/>
  <c r="I500" i="1" s="1"/>
  <c r="K499" i="1"/>
  <c r="L499" i="1" s="1"/>
  <c r="G499" i="1"/>
  <c r="L498" i="1"/>
  <c r="K498" i="1"/>
  <c r="G498" i="1"/>
  <c r="K497" i="1"/>
  <c r="L497" i="1" s="1"/>
  <c r="H497" i="1"/>
  <c r="I497" i="1" s="1"/>
  <c r="G497" i="1"/>
  <c r="K496" i="1"/>
  <c r="L496" i="1" s="1"/>
  <c r="I496" i="1"/>
  <c r="G496" i="1"/>
  <c r="H496" i="1" s="1"/>
  <c r="K495" i="1"/>
  <c r="L495" i="1" s="1"/>
  <c r="G495" i="1"/>
  <c r="L494" i="1"/>
  <c r="K494" i="1"/>
  <c r="G494" i="1"/>
  <c r="K493" i="1"/>
  <c r="L493" i="1" s="1"/>
  <c r="H493" i="1"/>
  <c r="I493" i="1" s="1"/>
  <c r="G493" i="1"/>
  <c r="K492" i="1"/>
  <c r="L492" i="1" s="1"/>
  <c r="I492" i="1"/>
  <c r="G492" i="1"/>
  <c r="H492" i="1" s="1"/>
  <c r="K491" i="1"/>
  <c r="L491" i="1" s="1"/>
  <c r="G491" i="1"/>
  <c r="L490" i="1"/>
  <c r="L502" i="1" s="1"/>
  <c r="K490" i="1"/>
  <c r="G490" i="1"/>
  <c r="F489" i="1"/>
  <c r="K488" i="1"/>
  <c r="L488" i="1" s="1"/>
  <c r="G488" i="1"/>
  <c r="H488" i="1" s="1"/>
  <c r="I488" i="1" s="1"/>
  <c r="K487" i="1"/>
  <c r="L487" i="1" s="1"/>
  <c r="G487" i="1"/>
  <c r="L486" i="1"/>
  <c r="K486" i="1"/>
  <c r="G486" i="1"/>
  <c r="K485" i="1"/>
  <c r="L485" i="1" s="1"/>
  <c r="H485" i="1"/>
  <c r="I485" i="1" s="1"/>
  <c r="G485" i="1"/>
  <c r="K484" i="1"/>
  <c r="L484" i="1" s="1"/>
  <c r="L489" i="1" s="1"/>
  <c r="I484" i="1"/>
  <c r="G484" i="1"/>
  <c r="H484" i="1" s="1"/>
  <c r="K482" i="1"/>
  <c r="L482" i="1" s="1"/>
  <c r="G482" i="1"/>
  <c r="L481" i="1"/>
  <c r="K481" i="1"/>
  <c r="G481" i="1"/>
  <c r="K480" i="1"/>
  <c r="L480" i="1" s="1"/>
  <c r="H480" i="1"/>
  <c r="I480" i="1" s="1"/>
  <c r="G480" i="1"/>
  <c r="K479" i="1"/>
  <c r="L479" i="1" s="1"/>
  <c r="L483" i="1" s="1"/>
  <c r="I479" i="1"/>
  <c r="G479" i="1"/>
  <c r="H479" i="1" s="1"/>
  <c r="K477" i="1"/>
  <c r="L477" i="1" s="1"/>
  <c r="G477" i="1"/>
  <c r="L476" i="1"/>
  <c r="K476" i="1"/>
  <c r="G476" i="1"/>
  <c r="K475" i="1"/>
  <c r="L475" i="1" s="1"/>
  <c r="H475" i="1"/>
  <c r="I475" i="1" s="1"/>
  <c r="G475" i="1"/>
  <c r="K474" i="1"/>
  <c r="L474" i="1" s="1"/>
  <c r="I474" i="1"/>
  <c r="G474" i="1"/>
  <c r="H474" i="1" s="1"/>
  <c r="K473" i="1"/>
  <c r="L473" i="1" s="1"/>
  <c r="J473" i="1"/>
  <c r="G473" i="1"/>
  <c r="J472" i="1"/>
  <c r="K472" i="1" s="1"/>
  <c r="L472" i="1" s="1"/>
  <c r="G472" i="1"/>
  <c r="H472" i="1" s="1"/>
  <c r="I472" i="1" s="1"/>
  <c r="K471" i="1"/>
  <c r="L471" i="1" s="1"/>
  <c r="G471" i="1"/>
  <c r="L470" i="1"/>
  <c r="K470" i="1"/>
  <c r="G470" i="1"/>
  <c r="K469" i="1"/>
  <c r="L469" i="1" s="1"/>
  <c r="H469" i="1"/>
  <c r="I469" i="1" s="1"/>
  <c r="G469" i="1"/>
  <c r="K468" i="1"/>
  <c r="L468" i="1" s="1"/>
  <c r="G468" i="1"/>
  <c r="H468" i="1" s="1"/>
  <c r="K466" i="1"/>
  <c r="L466" i="1" s="1"/>
  <c r="G466" i="1"/>
  <c r="L465" i="1"/>
  <c r="K465" i="1"/>
  <c r="G465" i="1"/>
  <c r="K464" i="1"/>
  <c r="L464" i="1" s="1"/>
  <c r="H464" i="1"/>
  <c r="I464" i="1" s="1"/>
  <c r="G464" i="1"/>
  <c r="K463" i="1"/>
  <c r="L463" i="1" s="1"/>
  <c r="G463" i="1"/>
  <c r="H463" i="1" s="1"/>
  <c r="I463" i="1" s="1"/>
  <c r="L462" i="1"/>
  <c r="I462" i="1"/>
  <c r="G462" i="1"/>
  <c r="H462" i="1" s="1"/>
  <c r="K461" i="1"/>
  <c r="L461" i="1" s="1"/>
  <c r="L467" i="1" s="1"/>
  <c r="G461" i="1"/>
  <c r="L459" i="1"/>
  <c r="K459" i="1"/>
  <c r="G459" i="1"/>
  <c r="K458" i="1"/>
  <c r="L458" i="1" s="1"/>
  <c r="H458" i="1"/>
  <c r="I458" i="1" s="1"/>
  <c r="G458" i="1"/>
  <c r="K457" i="1"/>
  <c r="L457" i="1" s="1"/>
  <c r="L460" i="1" s="1"/>
  <c r="I457" i="1"/>
  <c r="G457" i="1"/>
  <c r="H457" i="1" s="1"/>
  <c r="G455" i="1"/>
  <c r="K454" i="1"/>
  <c r="L454" i="1" s="1"/>
  <c r="L456" i="1" s="1"/>
  <c r="H454" i="1"/>
  <c r="G454" i="1"/>
  <c r="G452" i="1"/>
  <c r="L451" i="1"/>
  <c r="L453" i="1" s="1"/>
  <c r="K451" i="1"/>
  <c r="G451" i="1"/>
  <c r="L449" i="1"/>
  <c r="K449" i="1"/>
  <c r="H449" i="1"/>
  <c r="I449" i="1" s="1"/>
  <c r="G449" i="1"/>
  <c r="K448" i="1"/>
  <c r="L448" i="1" s="1"/>
  <c r="I448" i="1"/>
  <c r="H448" i="1"/>
  <c r="G448" i="1"/>
  <c r="K447" i="1"/>
  <c r="L447" i="1" s="1"/>
  <c r="G447" i="1"/>
  <c r="L446" i="1"/>
  <c r="L450" i="1" s="1"/>
  <c r="K446" i="1"/>
  <c r="G446" i="1"/>
  <c r="L444" i="1"/>
  <c r="K444" i="1"/>
  <c r="H444" i="1"/>
  <c r="I444" i="1" s="1"/>
  <c r="G444" i="1"/>
  <c r="K443" i="1"/>
  <c r="L443" i="1" s="1"/>
  <c r="I443" i="1"/>
  <c r="H443" i="1"/>
  <c r="G443" i="1"/>
  <c r="K442" i="1"/>
  <c r="L442" i="1" s="1"/>
  <c r="G442" i="1"/>
  <c r="L441" i="1"/>
  <c r="K441" i="1"/>
  <c r="G441" i="1"/>
  <c r="G440" i="1"/>
  <c r="L439" i="1"/>
  <c r="K439" i="1"/>
  <c r="H439" i="1"/>
  <c r="I439" i="1" s="1"/>
  <c r="G439" i="1"/>
  <c r="K438" i="1"/>
  <c r="L438" i="1" s="1"/>
  <c r="I438" i="1"/>
  <c r="H438" i="1"/>
  <c r="G438" i="1"/>
  <c r="K437" i="1"/>
  <c r="L437" i="1" s="1"/>
  <c r="G437" i="1"/>
  <c r="L436" i="1"/>
  <c r="K436" i="1"/>
  <c r="G436" i="1"/>
  <c r="L435" i="1"/>
  <c r="K435" i="1"/>
  <c r="H435" i="1"/>
  <c r="G435" i="1"/>
  <c r="K433" i="1"/>
  <c r="L433" i="1" s="1"/>
  <c r="I433" i="1"/>
  <c r="H433" i="1"/>
  <c r="G433" i="1"/>
  <c r="K432" i="1"/>
  <c r="L432" i="1" s="1"/>
  <c r="G432" i="1"/>
  <c r="L431" i="1"/>
  <c r="K431" i="1"/>
  <c r="G431" i="1"/>
  <c r="L430" i="1"/>
  <c r="K430" i="1"/>
  <c r="H430" i="1"/>
  <c r="I430" i="1" s="1"/>
  <c r="G430" i="1"/>
  <c r="K429" i="1"/>
  <c r="L429" i="1" s="1"/>
  <c r="I429" i="1"/>
  <c r="H429" i="1"/>
  <c r="G429" i="1"/>
  <c r="K428" i="1"/>
  <c r="L428" i="1" s="1"/>
  <c r="G428" i="1"/>
  <c r="L427" i="1"/>
  <c r="K427" i="1"/>
  <c r="G427" i="1"/>
  <c r="L426" i="1"/>
  <c r="K426" i="1"/>
  <c r="H426" i="1"/>
  <c r="I426" i="1" s="1"/>
  <c r="G426" i="1"/>
  <c r="J425" i="1"/>
  <c r="K425" i="1" s="1"/>
  <c r="L425" i="1" s="1"/>
  <c r="G425" i="1"/>
  <c r="L424" i="1"/>
  <c r="L423" i="1"/>
  <c r="K423" i="1"/>
  <c r="G423" i="1"/>
  <c r="L422" i="1"/>
  <c r="K422" i="1"/>
  <c r="H422" i="1"/>
  <c r="G422" i="1"/>
  <c r="G424" i="1" s="1"/>
  <c r="K420" i="1"/>
  <c r="L420" i="1" s="1"/>
  <c r="I420" i="1"/>
  <c r="H420" i="1"/>
  <c r="G420" i="1"/>
  <c r="K419" i="1"/>
  <c r="L419" i="1" s="1"/>
  <c r="G419" i="1"/>
  <c r="L418" i="1"/>
  <c r="L421" i="1" s="1"/>
  <c r="K418" i="1"/>
  <c r="G418" i="1"/>
  <c r="L416" i="1"/>
  <c r="K416" i="1"/>
  <c r="H416" i="1"/>
  <c r="G416" i="1"/>
  <c r="K415" i="1"/>
  <c r="L415" i="1" s="1"/>
  <c r="I415" i="1"/>
  <c r="H415" i="1"/>
  <c r="G415" i="1"/>
  <c r="K414" i="1"/>
  <c r="L414" i="1" s="1"/>
  <c r="I414" i="1"/>
  <c r="G414" i="1"/>
  <c r="H414" i="1" s="1"/>
  <c r="K413" i="1"/>
  <c r="L413" i="1" s="1"/>
  <c r="L417" i="1" s="1"/>
  <c r="H413" i="1"/>
  <c r="H417" i="1" s="1"/>
  <c r="G413" i="1"/>
  <c r="K411" i="1"/>
  <c r="L411" i="1" s="1"/>
  <c r="I411" i="1"/>
  <c r="H411" i="1"/>
  <c r="G411" i="1"/>
  <c r="K410" i="1"/>
  <c r="L410" i="1" s="1"/>
  <c r="G410" i="1"/>
  <c r="L409" i="1"/>
  <c r="K409" i="1"/>
  <c r="G409" i="1"/>
  <c r="G408" i="1"/>
  <c r="L407" i="1"/>
  <c r="K407" i="1"/>
  <c r="H407" i="1"/>
  <c r="I407" i="1" s="1"/>
  <c r="G407" i="1"/>
  <c r="K406" i="1"/>
  <c r="L406" i="1" s="1"/>
  <c r="I406" i="1"/>
  <c r="H406" i="1"/>
  <c r="G406" i="1"/>
  <c r="K405" i="1"/>
  <c r="L405" i="1" s="1"/>
  <c r="G405" i="1"/>
  <c r="L404" i="1"/>
  <c r="K404" i="1"/>
  <c r="G404" i="1"/>
  <c r="L403" i="1"/>
  <c r="K403" i="1"/>
  <c r="H403" i="1"/>
  <c r="G403" i="1"/>
  <c r="K400" i="1"/>
  <c r="L400" i="1" s="1"/>
  <c r="I400" i="1"/>
  <c r="H400" i="1"/>
  <c r="G400" i="1"/>
  <c r="K399" i="1"/>
  <c r="L399" i="1" s="1"/>
  <c r="G399" i="1"/>
  <c r="L398" i="1"/>
  <c r="K398" i="1"/>
  <c r="G398" i="1"/>
  <c r="L397" i="1"/>
  <c r="K397" i="1"/>
  <c r="H397" i="1"/>
  <c r="I397" i="1" s="1"/>
  <c r="G397" i="1"/>
  <c r="G401" i="1" s="1"/>
  <c r="K396" i="1"/>
  <c r="L396" i="1" s="1"/>
  <c r="I396" i="1"/>
  <c r="H396" i="1"/>
  <c r="G396" i="1"/>
  <c r="I395" i="1"/>
  <c r="K394" i="1"/>
  <c r="L394" i="1" s="1"/>
  <c r="G394" i="1"/>
  <c r="L393" i="1"/>
  <c r="L395" i="1" s="1"/>
  <c r="K393" i="1"/>
  <c r="G393" i="1"/>
  <c r="L392" i="1"/>
  <c r="K392" i="1"/>
  <c r="H392" i="1"/>
  <c r="I392" i="1" s="1"/>
  <c r="G392" i="1"/>
  <c r="G395" i="1" s="1"/>
  <c r="H395" i="1" s="1"/>
  <c r="K390" i="1"/>
  <c r="L390" i="1" s="1"/>
  <c r="I390" i="1"/>
  <c r="H390" i="1"/>
  <c r="G390" i="1"/>
  <c r="K389" i="1"/>
  <c r="L389" i="1" s="1"/>
  <c r="G389" i="1"/>
  <c r="L388" i="1"/>
  <c r="K388" i="1"/>
  <c r="G388" i="1"/>
  <c r="L387" i="1"/>
  <c r="K387" i="1"/>
  <c r="H387" i="1"/>
  <c r="I387" i="1" s="1"/>
  <c r="G387" i="1"/>
  <c r="G391" i="1" s="1"/>
  <c r="H386" i="1"/>
  <c r="K385" i="1"/>
  <c r="L385" i="1" s="1"/>
  <c r="I385" i="1"/>
  <c r="H385" i="1"/>
  <c r="G385" i="1"/>
  <c r="K384" i="1"/>
  <c r="L384" i="1" s="1"/>
  <c r="G384" i="1"/>
  <c r="L383" i="1"/>
  <c r="K383" i="1"/>
  <c r="G383" i="1"/>
  <c r="L382" i="1"/>
  <c r="K382" i="1"/>
  <c r="H382" i="1"/>
  <c r="I382" i="1" s="1"/>
  <c r="G382" i="1"/>
  <c r="G386" i="1" s="1"/>
  <c r="H381" i="1"/>
  <c r="K380" i="1"/>
  <c r="L380" i="1" s="1"/>
  <c r="I380" i="1"/>
  <c r="H380" i="1"/>
  <c r="G380" i="1"/>
  <c r="K379" i="1"/>
  <c r="L379" i="1" s="1"/>
  <c r="L381" i="1" s="1"/>
  <c r="G379" i="1"/>
  <c r="G381" i="1" s="1"/>
  <c r="L377" i="1"/>
  <c r="K377" i="1"/>
  <c r="G377" i="1"/>
  <c r="L376" i="1"/>
  <c r="K376" i="1"/>
  <c r="H376" i="1"/>
  <c r="I376" i="1" s="1"/>
  <c r="G376" i="1"/>
  <c r="K375" i="1"/>
  <c r="L375" i="1" s="1"/>
  <c r="I375" i="1"/>
  <c r="H375" i="1"/>
  <c r="G375" i="1"/>
  <c r="K374" i="1"/>
  <c r="L374" i="1" s="1"/>
  <c r="G374" i="1"/>
  <c r="L373" i="1"/>
  <c r="L378" i="1" s="1"/>
  <c r="K373" i="1"/>
  <c r="G373" i="1"/>
  <c r="G372" i="1"/>
  <c r="L371" i="1"/>
  <c r="K371" i="1"/>
  <c r="H371" i="1"/>
  <c r="I371" i="1" s="1"/>
  <c r="G371" i="1"/>
  <c r="K370" i="1"/>
  <c r="L370" i="1" s="1"/>
  <c r="I370" i="1"/>
  <c r="H370" i="1"/>
  <c r="G370" i="1"/>
  <c r="K369" i="1"/>
  <c r="L369" i="1" s="1"/>
  <c r="L372" i="1" s="1"/>
  <c r="G369" i="1"/>
  <c r="L367" i="1"/>
  <c r="L368" i="1" s="1"/>
  <c r="K367" i="1"/>
  <c r="G367" i="1"/>
  <c r="L366" i="1"/>
  <c r="K366" i="1"/>
  <c r="H366" i="1"/>
  <c r="I366" i="1" s="1"/>
  <c r="G366" i="1"/>
  <c r="K364" i="1"/>
  <c r="L364" i="1" s="1"/>
  <c r="I364" i="1"/>
  <c r="H364" i="1"/>
  <c r="G364" i="1"/>
  <c r="K363" i="1"/>
  <c r="L363" i="1" s="1"/>
  <c r="G363" i="1"/>
  <c r="L362" i="1"/>
  <c r="K362" i="1"/>
  <c r="G362" i="1"/>
  <c r="L361" i="1"/>
  <c r="K361" i="1"/>
  <c r="H361" i="1"/>
  <c r="I361" i="1" s="1"/>
  <c r="G361" i="1"/>
  <c r="K360" i="1"/>
  <c r="L360" i="1" s="1"/>
  <c r="I360" i="1"/>
  <c r="H360" i="1"/>
  <c r="G360" i="1"/>
  <c r="K359" i="1"/>
  <c r="L359" i="1" s="1"/>
  <c r="L365" i="1" s="1"/>
  <c r="G359" i="1"/>
  <c r="L357" i="1"/>
  <c r="L358" i="1" s="1"/>
  <c r="K357" i="1"/>
  <c r="G357" i="1"/>
  <c r="L356" i="1"/>
  <c r="K356" i="1"/>
  <c r="H356" i="1"/>
  <c r="I356" i="1" s="1"/>
  <c r="G356" i="1"/>
  <c r="K354" i="1"/>
  <c r="L354" i="1" s="1"/>
  <c r="I354" i="1"/>
  <c r="H354" i="1"/>
  <c r="G354" i="1"/>
  <c r="K353" i="1"/>
  <c r="L353" i="1" s="1"/>
  <c r="L355" i="1" s="1"/>
  <c r="G353" i="1"/>
  <c r="G355" i="1" s="1"/>
  <c r="H355" i="1" s="1"/>
  <c r="L352" i="1"/>
  <c r="L351" i="1"/>
  <c r="K351" i="1"/>
  <c r="G351" i="1"/>
  <c r="L350" i="1"/>
  <c r="K350" i="1"/>
  <c r="H350" i="1"/>
  <c r="I350" i="1" s="1"/>
  <c r="G350" i="1"/>
  <c r="M349" i="1"/>
  <c r="K348" i="1"/>
  <c r="L348" i="1" s="1"/>
  <c r="G348" i="1"/>
  <c r="L347" i="1"/>
  <c r="K347" i="1"/>
  <c r="G347" i="1"/>
  <c r="L346" i="1"/>
  <c r="K346" i="1"/>
  <c r="H346" i="1"/>
  <c r="I346" i="1" s="1"/>
  <c r="G346" i="1"/>
  <c r="K345" i="1"/>
  <c r="L345" i="1" s="1"/>
  <c r="I345" i="1"/>
  <c r="H345" i="1"/>
  <c r="G345" i="1"/>
  <c r="K344" i="1"/>
  <c r="L344" i="1" s="1"/>
  <c r="G344" i="1"/>
  <c r="L343" i="1"/>
  <c r="K343" i="1"/>
  <c r="G343" i="1"/>
  <c r="L342" i="1"/>
  <c r="K342" i="1"/>
  <c r="H342" i="1"/>
  <c r="I342" i="1" s="1"/>
  <c r="G342" i="1"/>
  <c r="K341" i="1"/>
  <c r="L341" i="1" s="1"/>
  <c r="I341" i="1"/>
  <c r="H341" i="1"/>
  <c r="G341" i="1"/>
  <c r="K340" i="1"/>
  <c r="L340" i="1" s="1"/>
  <c r="G340" i="1"/>
  <c r="L339" i="1"/>
  <c r="K339" i="1"/>
  <c r="G339" i="1"/>
  <c r="L337" i="1"/>
  <c r="K337" i="1"/>
  <c r="H337" i="1"/>
  <c r="I337" i="1" s="1"/>
  <c r="G337" i="1"/>
  <c r="K336" i="1"/>
  <c r="L336" i="1" s="1"/>
  <c r="I336" i="1"/>
  <c r="H336" i="1"/>
  <c r="G336" i="1"/>
  <c r="K335" i="1"/>
  <c r="L335" i="1" s="1"/>
  <c r="G335" i="1"/>
  <c r="L334" i="1"/>
  <c r="K334" i="1"/>
  <c r="G334" i="1"/>
  <c r="L333" i="1"/>
  <c r="K333" i="1"/>
  <c r="H333" i="1"/>
  <c r="I333" i="1" s="1"/>
  <c r="G333" i="1"/>
  <c r="K332" i="1"/>
  <c r="L332" i="1" s="1"/>
  <c r="I332" i="1"/>
  <c r="H332" i="1"/>
  <c r="G332" i="1"/>
  <c r="K331" i="1"/>
  <c r="L331" i="1" s="1"/>
  <c r="G331" i="1"/>
  <c r="L330" i="1"/>
  <c r="K330" i="1"/>
  <c r="G330" i="1"/>
  <c r="L328" i="1"/>
  <c r="K328" i="1"/>
  <c r="H328" i="1"/>
  <c r="I328" i="1" s="1"/>
  <c r="G328" i="1"/>
  <c r="K327" i="1"/>
  <c r="L327" i="1" s="1"/>
  <c r="I327" i="1"/>
  <c r="H327" i="1"/>
  <c r="G327" i="1"/>
  <c r="K326" i="1"/>
  <c r="L326" i="1" s="1"/>
  <c r="G326" i="1"/>
  <c r="L324" i="1"/>
  <c r="K324" i="1"/>
  <c r="G324" i="1"/>
  <c r="L323" i="1"/>
  <c r="K323" i="1"/>
  <c r="H323" i="1"/>
  <c r="I323" i="1" s="1"/>
  <c r="G323" i="1"/>
  <c r="K322" i="1"/>
  <c r="L322" i="1" s="1"/>
  <c r="I322" i="1"/>
  <c r="H322" i="1"/>
  <c r="G322" i="1"/>
  <c r="K321" i="1"/>
  <c r="L321" i="1" s="1"/>
  <c r="L325" i="1" s="1"/>
  <c r="G321" i="1"/>
  <c r="L320" i="1"/>
  <c r="K320" i="1"/>
  <c r="G320" i="1"/>
  <c r="L318" i="1"/>
  <c r="K318" i="1"/>
  <c r="H318" i="1"/>
  <c r="I318" i="1" s="1"/>
  <c r="G318" i="1"/>
  <c r="K317" i="1"/>
  <c r="L317" i="1" s="1"/>
  <c r="I317" i="1"/>
  <c r="H317" i="1"/>
  <c r="G317" i="1"/>
  <c r="K316" i="1"/>
  <c r="L316" i="1" s="1"/>
  <c r="L319" i="1" s="1"/>
  <c r="G316" i="1"/>
  <c r="L314" i="1"/>
  <c r="L315" i="1" s="1"/>
  <c r="K314" i="1"/>
  <c r="H314" i="1"/>
  <c r="G314" i="1"/>
  <c r="L313" i="1"/>
  <c r="K313" i="1"/>
  <c r="I313" i="1"/>
  <c r="H313" i="1"/>
  <c r="G313" i="1"/>
  <c r="L311" i="1"/>
  <c r="H311" i="1"/>
  <c r="I311" i="1" s="1"/>
  <c r="G311" i="1"/>
  <c r="L310" i="1"/>
  <c r="L312" i="1" s="1"/>
  <c r="H310" i="1"/>
  <c r="H312" i="1" s="1"/>
  <c r="G310" i="1"/>
  <c r="G312" i="1" s="1"/>
  <c r="K308" i="1"/>
  <c r="L308" i="1" s="1"/>
  <c r="I308" i="1"/>
  <c r="H308" i="1"/>
  <c r="G308" i="1"/>
  <c r="L307" i="1"/>
  <c r="K307" i="1"/>
  <c r="G307" i="1"/>
  <c r="L306" i="1"/>
  <c r="K306" i="1"/>
  <c r="H306" i="1"/>
  <c r="G306" i="1"/>
  <c r="L305" i="1"/>
  <c r="K305" i="1"/>
  <c r="I305" i="1"/>
  <c r="H305" i="1"/>
  <c r="G305" i="1"/>
  <c r="G309" i="1" s="1"/>
  <c r="E304" i="1"/>
  <c r="L303" i="1"/>
  <c r="K303" i="1"/>
  <c r="H303" i="1"/>
  <c r="G303" i="1"/>
  <c r="L302" i="1"/>
  <c r="K302" i="1"/>
  <c r="I302" i="1"/>
  <c r="H302" i="1"/>
  <c r="G302" i="1"/>
  <c r="K301" i="1"/>
  <c r="L301" i="1" s="1"/>
  <c r="I301" i="1"/>
  <c r="H301" i="1"/>
  <c r="G301" i="1"/>
  <c r="L300" i="1"/>
  <c r="L304" i="1" s="1"/>
  <c r="K300" i="1"/>
  <c r="G300" i="1"/>
  <c r="L299" i="1"/>
  <c r="K299" i="1"/>
  <c r="H299" i="1"/>
  <c r="G299" i="1"/>
  <c r="H298" i="1"/>
  <c r="G298" i="1"/>
  <c r="E298" i="1"/>
  <c r="K297" i="1"/>
  <c r="L297" i="1" s="1"/>
  <c r="L298" i="1" s="1"/>
  <c r="I297" i="1"/>
  <c r="I298" i="1" s="1"/>
  <c r="H297" i="1"/>
  <c r="G297" i="1"/>
  <c r="E296" i="1"/>
  <c r="L295" i="1"/>
  <c r="L296" i="1" s="1"/>
  <c r="K295" i="1"/>
  <c r="G295" i="1"/>
  <c r="E294" i="1"/>
  <c r="K293" i="1"/>
  <c r="L293" i="1" s="1"/>
  <c r="I293" i="1"/>
  <c r="H293" i="1"/>
  <c r="G293" i="1"/>
  <c r="L292" i="1"/>
  <c r="K292" i="1"/>
  <c r="G292" i="1"/>
  <c r="L291" i="1"/>
  <c r="G291" i="1"/>
  <c r="E291" i="1"/>
  <c r="L289" i="1"/>
  <c r="K289" i="1"/>
  <c r="I289" i="1"/>
  <c r="I291" i="1" s="1"/>
  <c r="H289" i="1"/>
  <c r="H291" i="1" s="1"/>
  <c r="G289" i="1"/>
  <c r="E288" i="1"/>
  <c r="K287" i="1"/>
  <c r="L287" i="1" s="1"/>
  <c r="G287" i="1"/>
  <c r="L286" i="1"/>
  <c r="K286" i="1"/>
  <c r="G286" i="1"/>
  <c r="H286" i="1" s="1"/>
  <c r="K285" i="1"/>
  <c r="G285" i="1"/>
  <c r="K284" i="1"/>
  <c r="L284" i="1" s="1"/>
  <c r="I284" i="1"/>
  <c r="H284" i="1"/>
  <c r="G284" i="1"/>
  <c r="K283" i="1"/>
  <c r="L283" i="1" s="1"/>
  <c r="I283" i="1"/>
  <c r="G283" i="1"/>
  <c r="H283" i="1" s="1"/>
  <c r="K282" i="1"/>
  <c r="L282" i="1" s="1"/>
  <c r="G282" i="1"/>
  <c r="L281" i="1"/>
  <c r="K281" i="1"/>
  <c r="H281" i="1"/>
  <c r="G281" i="1"/>
  <c r="K280" i="1"/>
  <c r="L280" i="1" s="1"/>
  <c r="H280" i="1"/>
  <c r="I280" i="1" s="1"/>
  <c r="G280" i="1"/>
  <c r="K279" i="1"/>
  <c r="L279" i="1" s="1"/>
  <c r="G279" i="1"/>
  <c r="H279" i="1" s="1"/>
  <c r="I279" i="1" s="1"/>
  <c r="L278" i="1"/>
  <c r="K278" i="1"/>
  <c r="G278" i="1"/>
  <c r="L277" i="1"/>
  <c r="K277" i="1"/>
  <c r="G277" i="1"/>
  <c r="K276" i="1"/>
  <c r="L276" i="1" s="1"/>
  <c r="I276" i="1"/>
  <c r="H276" i="1"/>
  <c r="G276" i="1"/>
  <c r="K275" i="1"/>
  <c r="L275" i="1" s="1"/>
  <c r="I275" i="1"/>
  <c r="G275" i="1"/>
  <c r="H275" i="1" s="1"/>
  <c r="K274" i="1"/>
  <c r="L274" i="1" s="1"/>
  <c r="G274" i="1"/>
  <c r="L273" i="1"/>
  <c r="K273" i="1"/>
  <c r="H273" i="1"/>
  <c r="G273" i="1"/>
  <c r="K272" i="1"/>
  <c r="L272" i="1" s="1"/>
  <c r="H272" i="1"/>
  <c r="I272" i="1" s="1"/>
  <c r="G272" i="1"/>
  <c r="K271" i="1"/>
  <c r="L271" i="1" s="1"/>
  <c r="G271" i="1"/>
  <c r="H271" i="1" s="1"/>
  <c r="I271" i="1" s="1"/>
  <c r="L270" i="1"/>
  <c r="K270" i="1"/>
  <c r="G270" i="1"/>
  <c r="L269" i="1"/>
  <c r="K269" i="1"/>
  <c r="G269" i="1"/>
  <c r="K268" i="1"/>
  <c r="L268" i="1" s="1"/>
  <c r="I268" i="1"/>
  <c r="H268" i="1"/>
  <c r="G268" i="1"/>
  <c r="K267" i="1"/>
  <c r="L267" i="1" s="1"/>
  <c r="I267" i="1"/>
  <c r="G267" i="1"/>
  <c r="H267" i="1" s="1"/>
  <c r="K266" i="1"/>
  <c r="L266" i="1" s="1"/>
  <c r="G266" i="1"/>
  <c r="L265" i="1"/>
  <c r="K265" i="1"/>
  <c r="H265" i="1"/>
  <c r="G265" i="1"/>
  <c r="K264" i="1"/>
  <c r="L264" i="1" s="1"/>
  <c r="H264" i="1"/>
  <c r="I264" i="1" s="1"/>
  <c r="G264" i="1"/>
  <c r="K263" i="1"/>
  <c r="L263" i="1" s="1"/>
  <c r="G263" i="1"/>
  <c r="H263" i="1" s="1"/>
  <c r="I263" i="1" s="1"/>
  <c r="L262" i="1"/>
  <c r="K262" i="1"/>
  <c r="G262" i="1"/>
  <c r="L260" i="1"/>
  <c r="K260" i="1"/>
  <c r="H260" i="1"/>
  <c r="G260" i="1"/>
  <c r="K259" i="1"/>
  <c r="L259" i="1" s="1"/>
  <c r="H259" i="1"/>
  <c r="I259" i="1" s="1"/>
  <c r="G259" i="1"/>
  <c r="K258" i="1"/>
  <c r="L258" i="1" s="1"/>
  <c r="G258" i="1"/>
  <c r="H258" i="1" s="1"/>
  <c r="I258" i="1" s="1"/>
  <c r="L257" i="1"/>
  <c r="K257" i="1"/>
  <c r="G257" i="1"/>
  <c r="L256" i="1"/>
  <c r="K256" i="1"/>
  <c r="G256" i="1"/>
  <c r="K255" i="1"/>
  <c r="L255" i="1" s="1"/>
  <c r="I255" i="1"/>
  <c r="H255" i="1"/>
  <c r="G255" i="1"/>
  <c r="K254" i="1"/>
  <c r="L254" i="1" s="1"/>
  <c r="I254" i="1"/>
  <c r="G254" i="1"/>
  <c r="H254" i="1" s="1"/>
  <c r="K253" i="1"/>
  <c r="L253" i="1" s="1"/>
  <c r="L261" i="1" s="1"/>
  <c r="G253" i="1"/>
  <c r="E252" i="1"/>
  <c r="K251" i="1"/>
  <c r="L251" i="1" s="1"/>
  <c r="H251" i="1"/>
  <c r="I251" i="1" s="1"/>
  <c r="G251" i="1"/>
  <c r="K250" i="1"/>
  <c r="L250" i="1" s="1"/>
  <c r="G250" i="1"/>
  <c r="H250" i="1" s="1"/>
  <c r="I250" i="1" s="1"/>
  <c r="L249" i="1"/>
  <c r="K249" i="1"/>
  <c r="G249" i="1"/>
  <c r="L248" i="1"/>
  <c r="K248" i="1"/>
  <c r="H248" i="1"/>
  <c r="G248" i="1"/>
  <c r="K247" i="1"/>
  <c r="L247" i="1" s="1"/>
  <c r="I247" i="1"/>
  <c r="H247" i="1"/>
  <c r="G247" i="1"/>
  <c r="K246" i="1"/>
  <c r="L246" i="1" s="1"/>
  <c r="I246" i="1"/>
  <c r="G246" i="1"/>
  <c r="H246" i="1" s="1"/>
  <c r="K245" i="1"/>
  <c r="L245" i="1" s="1"/>
  <c r="G245" i="1"/>
  <c r="L244" i="1"/>
  <c r="K244" i="1"/>
  <c r="G244" i="1"/>
  <c r="G252" i="1" s="1"/>
  <c r="K243" i="1"/>
  <c r="L243" i="1" s="1"/>
  <c r="H243" i="1"/>
  <c r="G243" i="1"/>
  <c r="K241" i="1"/>
  <c r="L241" i="1" s="1"/>
  <c r="G241" i="1"/>
  <c r="L240" i="1"/>
  <c r="K240" i="1"/>
  <c r="H240" i="1"/>
  <c r="G240" i="1"/>
  <c r="K239" i="1"/>
  <c r="L239" i="1" s="1"/>
  <c r="H239" i="1"/>
  <c r="I239" i="1" s="1"/>
  <c r="G239" i="1"/>
  <c r="K238" i="1"/>
  <c r="L238" i="1" s="1"/>
  <c r="G238" i="1"/>
  <c r="H238" i="1" s="1"/>
  <c r="I238" i="1" s="1"/>
  <c r="L237" i="1"/>
  <c r="K237" i="1"/>
  <c r="G237" i="1"/>
  <c r="L236" i="1"/>
  <c r="K236" i="1"/>
  <c r="G236" i="1"/>
  <c r="K235" i="1"/>
  <c r="L235" i="1" s="1"/>
  <c r="I235" i="1"/>
  <c r="H235" i="1"/>
  <c r="G235" i="1"/>
  <c r="K234" i="1"/>
  <c r="L234" i="1" s="1"/>
  <c r="I234" i="1"/>
  <c r="G234" i="1"/>
  <c r="H234" i="1" s="1"/>
  <c r="K233" i="1"/>
  <c r="L233" i="1" s="1"/>
  <c r="G233" i="1"/>
  <c r="L232" i="1"/>
  <c r="K232" i="1"/>
  <c r="H232" i="1"/>
  <c r="G232" i="1"/>
  <c r="K231" i="1"/>
  <c r="L231" i="1" s="1"/>
  <c r="H231" i="1"/>
  <c r="I231" i="1" s="1"/>
  <c r="G231" i="1"/>
  <c r="K230" i="1"/>
  <c r="L230" i="1" s="1"/>
  <c r="G230" i="1"/>
  <c r="H230" i="1" s="1"/>
  <c r="I230" i="1" s="1"/>
  <c r="L229" i="1"/>
  <c r="K229" i="1"/>
  <c r="G229" i="1"/>
  <c r="L228" i="1"/>
  <c r="G228" i="1"/>
  <c r="E228" i="1"/>
  <c r="K227" i="1"/>
  <c r="L227" i="1" s="1"/>
  <c r="I227" i="1"/>
  <c r="I228" i="1" s="1"/>
  <c r="H227" i="1"/>
  <c r="H228" i="1" s="1"/>
  <c r="G227" i="1"/>
  <c r="K225" i="1"/>
  <c r="L225" i="1" s="1"/>
  <c r="G225" i="1"/>
  <c r="H225" i="1" s="1"/>
  <c r="I225" i="1" s="1"/>
  <c r="L224" i="1"/>
  <c r="K224" i="1"/>
  <c r="G224" i="1"/>
  <c r="L223" i="1"/>
  <c r="K223" i="1"/>
  <c r="H223" i="1"/>
  <c r="G223" i="1"/>
  <c r="K222" i="1"/>
  <c r="L222" i="1" s="1"/>
  <c r="I222" i="1"/>
  <c r="H222" i="1"/>
  <c r="G222" i="1"/>
  <c r="K221" i="1"/>
  <c r="L221" i="1" s="1"/>
  <c r="I221" i="1"/>
  <c r="G221" i="1"/>
  <c r="H221" i="1" s="1"/>
  <c r="K220" i="1"/>
  <c r="L220" i="1" s="1"/>
  <c r="G220" i="1"/>
  <c r="L219" i="1"/>
  <c r="K219" i="1"/>
  <c r="G219" i="1"/>
  <c r="H219" i="1" s="1"/>
  <c r="K218" i="1"/>
  <c r="L218" i="1" s="1"/>
  <c r="H218" i="1"/>
  <c r="I218" i="1" s="1"/>
  <c r="G218" i="1"/>
  <c r="E217" i="1"/>
  <c r="L216" i="1"/>
  <c r="K216" i="1"/>
  <c r="G216" i="1"/>
  <c r="K215" i="1"/>
  <c r="L215" i="1" s="1"/>
  <c r="I215" i="1"/>
  <c r="H215" i="1"/>
  <c r="G215" i="1"/>
  <c r="K214" i="1"/>
  <c r="L214" i="1" s="1"/>
  <c r="I214" i="1"/>
  <c r="G214" i="1"/>
  <c r="H214" i="1" s="1"/>
  <c r="K213" i="1"/>
  <c r="L213" i="1" s="1"/>
  <c r="L217" i="1" s="1"/>
  <c r="G213" i="1"/>
  <c r="L212" i="1"/>
  <c r="K212" i="1"/>
  <c r="H212" i="1"/>
  <c r="G212" i="1"/>
  <c r="E211" i="1"/>
  <c r="K210" i="1"/>
  <c r="L210" i="1" s="1"/>
  <c r="G210" i="1"/>
  <c r="H210" i="1" s="1"/>
  <c r="I210" i="1" s="1"/>
  <c r="L209" i="1"/>
  <c r="K209" i="1"/>
  <c r="G209" i="1"/>
  <c r="L208" i="1"/>
  <c r="K208" i="1"/>
  <c r="H208" i="1"/>
  <c r="G208" i="1"/>
  <c r="K207" i="1"/>
  <c r="L207" i="1" s="1"/>
  <c r="I207" i="1"/>
  <c r="H207" i="1"/>
  <c r="G207" i="1"/>
  <c r="K206" i="1"/>
  <c r="L206" i="1" s="1"/>
  <c r="I206" i="1"/>
  <c r="G206" i="1"/>
  <c r="H206" i="1" s="1"/>
  <c r="K205" i="1"/>
  <c r="L205" i="1" s="1"/>
  <c r="G205" i="1"/>
  <c r="L204" i="1"/>
  <c r="K204" i="1"/>
  <c r="G204" i="1"/>
  <c r="K203" i="1"/>
  <c r="L203" i="1" s="1"/>
  <c r="H203" i="1"/>
  <c r="I203" i="1" s="1"/>
  <c r="G203" i="1"/>
  <c r="K202" i="1"/>
  <c r="L202" i="1" s="1"/>
  <c r="G202" i="1"/>
  <c r="H202" i="1" s="1"/>
  <c r="K200" i="1"/>
  <c r="L200" i="1" s="1"/>
  <c r="G200" i="1"/>
  <c r="L199" i="1"/>
  <c r="K199" i="1"/>
  <c r="G199" i="1"/>
  <c r="H199" i="1" s="1"/>
  <c r="K198" i="1"/>
  <c r="L198" i="1" s="1"/>
  <c r="H198" i="1"/>
  <c r="I198" i="1" s="1"/>
  <c r="G198" i="1"/>
  <c r="K197" i="1"/>
  <c r="L197" i="1" s="1"/>
  <c r="G197" i="1"/>
  <c r="H197" i="1" s="1"/>
  <c r="I197" i="1" s="1"/>
  <c r="L196" i="1"/>
  <c r="K196" i="1"/>
  <c r="G196" i="1"/>
  <c r="L195" i="1"/>
  <c r="K195" i="1"/>
  <c r="H195" i="1"/>
  <c r="G195" i="1"/>
  <c r="K194" i="1"/>
  <c r="L194" i="1" s="1"/>
  <c r="I194" i="1"/>
  <c r="H194" i="1"/>
  <c r="G194" i="1"/>
  <c r="K193" i="1"/>
  <c r="L193" i="1" s="1"/>
  <c r="I193" i="1"/>
  <c r="G193" i="1"/>
  <c r="H193" i="1" s="1"/>
  <c r="K192" i="1"/>
  <c r="L192" i="1" s="1"/>
  <c r="L201" i="1" s="1"/>
  <c r="G192" i="1"/>
  <c r="L191" i="1"/>
  <c r="K191" i="1"/>
  <c r="G191" i="1"/>
  <c r="K190" i="1"/>
  <c r="L190" i="1" s="1"/>
  <c r="H190" i="1"/>
  <c r="I190" i="1" s="1"/>
  <c r="G190" i="1"/>
  <c r="K189" i="1"/>
  <c r="L189" i="1" s="1"/>
  <c r="G189" i="1"/>
  <c r="H189" i="1" s="1"/>
  <c r="K187" i="1"/>
  <c r="L187" i="1" s="1"/>
  <c r="G187" i="1"/>
  <c r="L186" i="1"/>
  <c r="K186" i="1"/>
  <c r="G186" i="1"/>
  <c r="H186" i="1" s="1"/>
  <c r="K185" i="1"/>
  <c r="L185" i="1" s="1"/>
  <c r="H185" i="1"/>
  <c r="I185" i="1" s="1"/>
  <c r="G185" i="1"/>
  <c r="K184" i="1"/>
  <c r="G184" i="1"/>
  <c r="H184" i="1" s="1"/>
  <c r="I184" i="1" s="1"/>
  <c r="L183" i="1"/>
  <c r="K183" i="1"/>
  <c r="G183" i="1"/>
  <c r="L182" i="1"/>
  <c r="K182" i="1"/>
  <c r="H182" i="1"/>
  <c r="G182" i="1"/>
  <c r="G181" i="1"/>
  <c r="H181" i="1" s="1"/>
  <c r="L180" i="1"/>
  <c r="K180" i="1"/>
  <c r="H180" i="1"/>
  <c r="I180" i="1" s="1"/>
  <c r="G180" i="1"/>
  <c r="K179" i="1"/>
  <c r="L179" i="1" s="1"/>
  <c r="G179" i="1"/>
  <c r="H179" i="1" s="1"/>
  <c r="I179" i="1" s="1"/>
  <c r="L178" i="1"/>
  <c r="K178" i="1"/>
  <c r="G178" i="1"/>
  <c r="L177" i="1"/>
  <c r="K177" i="1"/>
  <c r="G177" i="1"/>
  <c r="K175" i="1"/>
  <c r="L175" i="1" s="1"/>
  <c r="H175" i="1"/>
  <c r="I175" i="1" s="1"/>
  <c r="G175" i="1"/>
  <c r="K174" i="1"/>
  <c r="L174" i="1" s="1"/>
  <c r="G174" i="1"/>
  <c r="H174" i="1" s="1"/>
  <c r="I174" i="1" s="1"/>
  <c r="L173" i="1"/>
  <c r="K173" i="1"/>
  <c r="G173" i="1"/>
  <c r="L172" i="1"/>
  <c r="K172" i="1"/>
  <c r="G172" i="1"/>
  <c r="K171" i="1"/>
  <c r="L171" i="1" s="1"/>
  <c r="I171" i="1"/>
  <c r="H171" i="1"/>
  <c r="G171" i="1"/>
  <c r="K170" i="1"/>
  <c r="L170" i="1" s="1"/>
  <c r="L176" i="1" s="1"/>
  <c r="I170" i="1"/>
  <c r="G170" i="1"/>
  <c r="H170" i="1" s="1"/>
  <c r="L169" i="1"/>
  <c r="L168" i="1"/>
  <c r="K168" i="1"/>
  <c r="G168" i="1"/>
  <c r="L166" i="1"/>
  <c r="K166" i="1"/>
  <c r="H166" i="1"/>
  <c r="G166" i="1"/>
  <c r="K165" i="1"/>
  <c r="L165" i="1" s="1"/>
  <c r="H165" i="1"/>
  <c r="I165" i="1" s="1"/>
  <c r="G165" i="1"/>
  <c r="K164" i="1"/>
  <c r="L164" i="1" s="1"/>
  <c r="I164" i="1"/>
  <c r="H164" i="1"/>
  <c r="G164" i="1"/>
  <c r="K163" i="1"/>
  <c r="L163" i="1" s="1"/>
  <c r="L167" i="1" s="1"/>
  <c r="G163" i="1"/>
  <c r="L162" i="1"/>
  <c r="K162" i="1"/>
  <c r="G162" i="1"/>
  <c r="H162" i="1" s="1"/>
  <c r="L161" i="1"/>
  <c r="K161" i="1"/>
  <c r="H161" i="1"/>
  <c r="I161" i="1" s="1"/>
  <c r="G161" i="1"/>
  <c r="F160" i="1"/>
  <c r="L159" i="1"/>
  <c r="K159" i="1"/>
  <c r="G159" i="1"/>
  <c r="L158" i="1"/>
  <c r="K158" i="1"/>
  <c r="G158" i="1"/>
  <c r="K157" i="1"/>
  <c r="L157" i="1" s="1"/>
  <c r="I157" i="1"/>
  <c r="H157" i="1"/>
  <c r="G157" i="1"/>
  <c r="K156" i="1"/>
  <c r="L156" i="1" s="1"/>
  <c r="I156" i="1"/>
  <c r="G156" i="1"/>
  <c r="H156" i="1" s="1"/>
  <c r="K155" i="1"/>
  <c r="L155" i="1" s="1"/>
  <c r="G155" i="1"/>
  <c r="L154" i="1"/>
  <c r="K154" i="1"/>
  <c r="H154" i="1"/>
  <c r="G154" i="1"/>
  <c r="K153" i="1"/>
  <c r="L153" i="1" s="1"/>
  <c r="H153" i="1"/>
  <c r="I153" i="1" s="1"/>
  <c r="G153" i="1"/>
  <c r="K152" i="1"/>
  <c r="L152" i="1" s="1"/>
  <c r="G152" i="1"/>
  <c r="H152" i="1" s="1"/>
  <c r="I152" i="1" s="1"/>
  <c r="L151" i="1"/>
  <c r="K151" i="1"/>
  <c r="G151" i="1"/>
  <c r="L150" i="1"/>
  <c r="K150" i="1"/>
  <c r="G150" i="1"/>
  <c r="K149" i="1"/>
  <c r="L149" i="1" s="1"/>
  <c r="I149" i="1"/>
  <c r="H149" i="1"/>
  <c r="G149" i="1"/>
  <c r="K148" i="1"/>
  <c r="L148" i="1" s="1"/>
  <c r="I148" i="1"/>
  <c r="G148" i="1"/>
  <c r="H148" i="1" s="1"/>
  <c r="K147" i="1"/>
  <c r="L147" i="1" s="1"/>
  <c r="G147" i="1"/>
  <c r="L146" i="1"/>
  <c r="K146" i="1"/>
  <c r="H146" i="1"/>
  <c r="G146" i="1"/>
  <c r="K145" i="1"/>
  <c r="L145" i="1" s="1"/>
  <c r="H145" i="1"/>
  <c r="I145" i="1" s="1"/>
  <c r="G145" i="1"/>
  <c r="K144" i="1"/>
  <c r="L144" i="1" s="1"/>
  <c r="G144" i="1"/>
  <c r="H144" i="1" s="1"/>
  <c r="I144" i="1" s="1"/>
  <c r="L143" i="1"/>
  <c r="K143" i="1"/>
  <c r="G143" i="1"/>
  <c r="L142" i="1"/>
  <c r="K142" i="1"/>
  <c r="G142" i="1"/>
  <c r="K141" i="1"/>
  <c r="L141" i="1" s="1"/>
  <c r="I141" i="1"/>
  <c r="H141" i="1"/>
  <c r="G141" i="1"/>
  <c r="K140" i="1"/>
  <c r="L140" i="1" s="1"/>
  <c r="I140" i="1"/>
  <c r="G140" i="1"/>
  <c r="H140" i="1" s="1"/>
  <c r="K139" i="1"/>
  <c r="L139" i="1" s="1"/>
  <c r="G139" i="1"/>
  <c r="L138" i="1"/>
  <c r="K138" i="1"/>
  <c r="H138" i="1"/>
  <c r="G138" i="1"/>
  <c r="K137" i="1"/>
  <c r="L137" i="1" s="1"/>
  <c r="H137" i="1"/>
  <c r="I137" i="1" s="1"/>
  <c r="G137" i="1"/>
  <c r="K136" i="1"/>
  <c r="L136" i="1" s="1"/>
  <c r="G136" i="1"/>
  <c r="H136" i="1" s="1"/>
  <c r="I136" i="1" s="1"/>
  <c r="L135" i="1"/>
  <c r="K135" i="1"/>
  <c r="G135" i="1"/>
  <c r="L134" i="1"/>
  <c r="K134" i="1"/>
  <c r="G134" i="1"/>
  <c r="K133" i="1"/>
  <c r="L133" i="1" s="1"/>
  <c r="I133" i="1"/>
  <c r="H133" i="1"/>
  <c r="G133" i="1"/>
  <c r="K132" i="1"/>
  <c r="L132" i="1" s="1"/>
  <c r="I132" i="1"/>
  <c r="G132" i="1"/>
  <c r="H132" i="1" s="1"/>
  <c r="K131" i="1"/>
  <c r="L131" i="1" s="1"/>
  <c r="L160" i="1" s="1"/>
  <c r="G131" i="1"/>
  <c r="L129" i="1"/>
  <c r="L130" i="1" s="1"/>
  <c r="K129" i="1"/>
  <c r="G129" i="1"/>
  <c r="G128" i="1"/>
  <c r="K127" i="1"/>
  <c r="L127" i="1" s="1"/>
  <c r="L128" i="1" s="1"/>
  <c r="H127" i="1"/>
  <c r="H128" i="1" s="1"/>
  <c r="G127" i="1"/>
  <c r="L125" i="1"/>
  <c r="K125" i="1"/>
  <c r="G125" i="1"/>
  <c r="L124" i="1"/>
  <c r="K124" i="1"/>
  <c r="H124" i="1"/>
  <c r="G124" i="1"/>
  <c r="L123" i="1"/>
  <c r="K123" i="1"/>
  <c r="I123" i="1"/>
  <c r="H123" i="1"/>
  <c r="G123" i="1"/>
  <c r="K122" i="1"/>
  <c r="L122" i="1" s="1"/>
  <c r="I122" i="1"/>
  <c r="H122" i="1"/>
  <c r="G122" i="1"/>
  <c r="L121" i="1"/>
  <c r="K121" i="1"/>
  <c r="G121" i="1"/>
  <c r="L120" i="1"/>
  <c r="K120" i="1"/>
  <c r="H120" i="1"/>
  <c r="G120" i="1"/>
  <c r="L119" i="1"/>
  <c r="K119" i="1"/>
  <c r="I119" i="1"/>
  <c r="H119" i="1"/>
  <c r="G119" i="1"/>
  <c r="K118" i="1"/>
  <c r="L118" i="1" s="1"/>
  <c r="I118" i="1"/>
  <c r="H118" i="1"/>
  <c r="G118" i="1"/>
  <c r="L117" i="1"/>
  <c r="K117" i="1"/>
  <c r="G117" i="1"/>
  <c r="L116" i="1"/>
  <c r="K116" i="1"/>
  <c r="H116" i="1"/>
  <c r="G116" i="1"/>
  <c r="L115" i="1"/>
  <c r="K115" i="1"/>
  <c r="I115" i="1"/>
  <c r="H115" i="1"/>
  <c r="G115" i="1"/>
  <c r="K114" i="1"/>
  <c r="L114" i="1" s="1"/>
  <c r="I114" i="1"/>
  <c r="H114" i="1"/>
  <c r="G114" i="1"/>
  <c r="L113" i="1"/>
  <c r="K113" i="1"/>
  <c r="G113" i="1"/>
  <c r="L112" i="1"/>
  <c r="K112" i="1"/>
  <c r="H112" i="1"/>
  <c r="G112" i="1"/>
  <c r="L111" i="1"/>
  <c r="K111" i="1"/>
  <c r="I111" i="1"/>
  <c r="H111" i="1"/>
  <c r="G111" i="1"/>
  <c r="K110" i="1"/>
  <c r="L110" i="1" s="1"/>
  <c r="I110" i="1"/>
  <c r="G110" i="1"/>
  <c r="H110" i="1" s="1"/>
  <c r="K109" i="1"/>
  <c r="L109" i="1" s="1"/>
  <c r="G109" i="1"/>
  <c r="L108" i="1"/>
  <c r="K108" i="1"/>
  <c r="H108" i="1"/>
  <c r="G108" i="1"/>
  <c r="K107" i="1"/>
  <c r="L107" i="1" s="1"/>
  <c r="H107" i="1"/>
  <c r="I107" i="1" s="1"/>
  <c r="G107" i="1"/>
  <c r="K106" i="1"/>
  <c r="L106" i="1" s="1"/>
  <c r="G106" i="1"/>
  <c r="H106" i="1" s="1"/>
  <c r="I106" i="1" s="1"/>
  <c r="L105" i="1"/>
  <c r="K105" i="1"/>
  <c r="G105" i="1"/>
  <c r="L104" i="1"/>
  <c r="K104" i="1"/>
  <c r="G104" i="1"/>
  <c r="K103" i="1"/>
  <c r="L103" i="1" s="1"/>
  <c r="I103" i="1"/>
  <c r="H103" i="1"/>
  <c r="G103" i="1"/>
  <c r="K102" i="1"/>
  <c r="L102" i="1" s="1"/>
  <c r="I102" i="1"/>
  <c r="G102" i="1"/>
  <c r="H102" i="1" s="1"/>
  <c r="K101" i="1"/>
  <c r="L101" i="1" s="1"/>
  <c r="G101" i="1"/>
  <c r="L100" i="1"/>
  <c r="K100" i="1"/>
  <c r="H100" i="1"/>
  <c r="G100" i="1"/>
  <c r="K99" i="1"/>
  <c r="L99" i="1" s="1"/>
  <c r="H99" i="1"/>
  <c r="I99" i="1" s="1"/>
  <c r="G99" i="1"/>
  <c r="K98" i="1"/>
  <c r="L98" i="1" s="1"/>
  <c r="G98" i="1"/>
  <c r="H98" i="1" s="1"/>
  <c r="I98" i="1" s="1"/>
  <c r="L97" i="1"/>
  <c r="K97" i="1"/>
  <c r="G97" i="1"/>
  <c r="L96" i="1"/>
  <c r="K96" i="1"/>
  <c r="G96" i="1"/>
  <c r="F95" i="1"/>
  <c r="K94" i="1"/>
  <c r="L94" i="1" s="1"/>
  <c r="G94" i="1"/>
  <c r="L93" i="1"/>
  <c r="K93" i="1"/>
  <c r="H93" i="1"/>
  <c r="G93" i="1"/>
  <c r="L92" i="1"/>
  <c r="K92" i="1"/>
  <c r="I92" i="1"/>
  <c r="H92" i="1"/>
  <c r="G92" i="1"/>
  <c r="K91" i="1"/>
  <c r="L91" i="1" s="1"/>
  <c r="I91" i="1"/>
  <c r="H91" i="1"/>
  <c r="G91" i="1"/>
  <c r="I90" i="1"/>
  <c r="L89" i="1"/>
  <c r="K89" i="1"/>
  <c r="G89" i="1"/>
  <c r="L88" i="1"/>
  <c r="K88" i="1"/>
  <c r="G88" i="1"/>
  <c r="K87" i="1"/>
  <c r="L87" i="1" s="1"/>
  <c r="L90" i="1" s="1"/>
  <c r="I87" i="1"/>
  <c r="H87" i="1"/>
  <c r="G87" i="1"/>
  <c r="G90" i="1" s="1"/>
  <c r="H90" i="1" s="1"/>
  <c r="K85" i="1"/>
  <c r="L85" i="1" s="1"/>
  <c r="G85" i="1"/>
  <c r="H85" i="1" s="1"/>
  <c r="I85" i="1" s="1"/>
  <c r="L84" i="1"/>
  <c r="K84" i="1"/>
  <c r="G84" i="1"/>
  <c r="L83" i="1"/>
  <c r="K83" i="1"/>
  <c r="G83" i="1"/>
  <c r="L82" i="1"/>
  <c r="K82" i="1"/>
  <c r="H82" i="1"/>
  <c r="I82" i="1" s="1"/>
  <c r="G82" i="1"/>
  <c r="G86" i="1" s="1"/>
  <c r="H86" i="1" s="1"/>
  <c r="K80" i="1"/>
  <c r="L80" i="1" s="1"/>
  <c r="L81" i="1" s="1"/>
  <c r="G80" i="1"/>
  <c r="L79" i="1"/>
  <c r="K79" i="1"/>
  <c r="H79" i="1"/>
  <c r="G79" i="1"/>
  <c r="L78" i="1"/>
  <c r="K78" i="1"/>
  <c r="I78" i="1"/>
  <c r="H78" i="1"/>
  <c r="G78" i="1"/>
  <c r="L76" i="1"/>
  <c r="K76" i="1"/>
  <c r="G76" i="1"/>
  <c r="L75" i="1"/>
  <c r="K75" i="1"/>
  <c r="G75" i="1"/>
  <c r="K74" i="1"/>
  <c r="H74" i="1"/>
  <c r="G74" i="1"/>
  <c r="L73" i="1"/>
  <c r="K73" i="1"/>
  <c r="I73" i="1"/>
  <c r="H73" i="1"/>
  <c r="G73" i="1"/>
  <c r="K72" i="1"/>
  <c r="L72" i="1" s="1"/>
  <c r="I72" i="1"/>
  <c r="H72" i="1"/>
  <c r="G72" i="1"/>
  <c r="L71" i="1"/>
  <c r="K71" i="1"/>
  <c r="G71" i="1"/>
  <c r="L70" i="1"/>
  <c r="K70" i="1"/>
  <c r="H70" i="1"/>
  <c r="G70" i="1"/>
  <c r="L69" i="1"/>
  <c r="K69" i="1"/>
  <c r="I69" i="1"/>
  <c r="H69" i="1"/>
  <c r="G69" i="1"/>
  <c r="K68" i="1"/>
  <c r="L68" i="1" s="1"/>
  <c r="I68" i="1"/>
  <c r="G68" i="1"/>
  <c r="H68" i="1" s="1"/>
  <c r="K67" i="1"/>
  <c r="L67" i="1" s="1"/>
  <c r="G67" i="1"/>
  <c r="L66" i="1"/>
  <c r="K66" i="1"/>
  <c r="H66" i="1"/>
  <c r="G66" i="1"/>
  <c r="K65" i="1"/>
  <c r="L65" i="1" s="1"/>
  <c r="H65" i="1"/>
  <c r="I65" i="1" s="1"/>
  <c r="G65" i="1"/>
  <c r="K64" i="1"/>
  <c r="L64" i="1" s="1"/>
  <c r="G64" i="1"/>
  <c r="H64" i="1" s="1"/>
  <c r="I64" i="1" s="1"/>
  <c r="L63" i="1"/>
  <c r="L77" i="1" s="1"/>
  <c r="K63" i="1"/>
  <c r="G63" i="1"/>
  <c r="K61" i="1"/>
  <c r="L61" i="1" s="1"/>
  <c r="I61" i="1"/>
  <c r="H61" i="1"/>
  <c r="G61" i="1"/>
  <c r="K60" i="1"/>
  <c r="L60" i="1" s="1"/>
  <c r="I60" i="1"/>
  <c r="G60" i="1"/>
  <c r="H60" i="1" s="1"/>
  <c r="K59" i="1"/>
  <c r="L59" i="1" s="1"/>
  <c r="L62" i="1" s="1"/>
  <c r="G59" i="1"/>
  <c r="F58" i="1"/>
  <c r="K57" i="1"/>
  <c r="L57" i="1" s="1"/>
  <c r="I57" i="1"/>
  <c r="H57" i="1"/>
  <c r="G57" i="1"/>
  <c r="L56" i="1"/>
  <c r="K56" i="1"/>
  <c r="G56" i="1"/>
  <c r="L55" i="1"/>
  <c r="K55" i="1"/>
  <c r="G55" i="1"/>
  <c r="L54" i="1"/>
  <c r="K54" i="1"/>
  <c r="H54" i="1"/>
  <c r="I54" i="1" s="1"/>
  <c r="G54" i="1"/>
  <c r="K53" i="1"/>
  <c r="L53" i="1" s="1"/>
  <c r="I53" i="1"/>
  <c r="H53" i="1"/>
  <c r="G53" i="1"/>
  <c r="L52" i="1"/>
  <c r="K52" i="1"/>
  <c r="G52" i="1"/>
  <c r="L51" i="1"/>
  <c r="K51" i="1"/>
  <c r="G51" i="1"/>
  <c r="L50" i="1"/>
  <c r="K50" i="1"/>
  <c r="H50" i="1"/>
  <c r="I50" i="1" s="1"/>
  <c r="G50" i="1"/>
  <c r="K49" i="1"/>
  <c r="L49" i="1" s="1"/>
  <c r="I49" i="1"/>
  <c r="H49" i="1"/>
  <c r="G49" i="1"/>
  <c r="L48" i="1"/>
  <c r="K48" i="1"/>
  <c r="G48" i="1"/>
  <c r="L47" i="1"/>
  <c r="K47" i="1"/>
  <c r="G47" i="1"/>
  <c r="L46" i="1"/>
  <c r="K46" i="1"/>
  <c r="H46" i="1"/>
  <c r="I46" i="1" s="1"/>
  <c r="G46" i="1"/>
  <c r="K45" i="1"/>
  <c r="L45" i="1" s="1"/>
  <c r="I45" i="1"/>
  <c r="H45" i="1"/>
  <c r="G45" i="1"/>
  <c r="L44" i="1"/>
  <c r="K44" i="1"/>
  <c r="G44" i="1"/>
  <c r="L43" i="1"/>
  <c r="K43" i="1"/>
  <c r="G43" i="1"/>
  <c r="L42" i="1"/>
  <c r="K42" i="1"/>
  <c r="H42" i="1"/>
  <c r="I42" i="1" s="1"/>
  <c r="G42" i="1"/>
  <c r="K41" i="1"/>
  <c r="L41" i="1" s="1"/>
  <c r="I41" i="1"/>
  <c r="H41" i="1"/>
  <c r="G41" i="1"/>
  <c r="L40" i="1"/>
  <c r="K40" i="1"/>
  <c r="G40" i="1"/>
  <c r="L39" i="1"/>
  <c r="K39" i="1"/>
  <c r="G39" i="1"/>
  <c r="L38" i="1"/>
  <c r="K38" i="1"/>
  <c r="H38" i="1"/>
  <c r="I38" i="1" s="1"/>
  <c r="G38" i="1"/>
  <c r="K37" i="1"/>
  <c r="L37" i="1" s="1"/>
  <c r="I37" i="1"/>
  <c r="H37" i="1"/>
  <c r="G37" i="1"/>
  <c r="L36" i="1"/>
  <c r="K36" i="1"/>
  <c r="G36" i="1"/>
  <c r="L35" i="1"/>
  <c r="K35" i="1"/>
  <c r="G35" i="1"/>
  <c r="L34" i="1"/>
  <c r="K34" i="1"/>
  <c r="H34" i="1"/>
  <c r="I34" i="1" s="1"/>
  <c r="G34" i="1"/>
  <c r="K33" i="1"/>
  <c r="L33" i="1" s="1"/>
  <c r="G33" i="1"/>
  <c r="L32" i="1"/>
  <c r="K32" i="1"/>
  <c r="H32" i="1"/>
  <c r="G32" i="1"/>
  <c r="G58" i="1" s="1"/>
  <c r="K30" i="1"/>
  <c r="L30" i="1" s="1"/>
  <c r="G30" i="1"/>
  <c r="H30" i="1" s="1"/>
  <c r="I30" i="1" s="1"/>
  <c r="L29" i="1"/>
  <c r="K29" i="1"/>
  <c r="G29" i="1"/>
  <c r="L28" i="1"/>
  <c r="K28" i="1"/>
  <c r="H28" i="1"/>
  <c r="G28" i="1"/>
  <c r="I28" i="1" s="1"/>
  <c r="K27" i="1"/>
  <c r="L27" i="1" s="1"/>
  <c r="L31" i="1" s="1"/>
  <c r="M31" i="1" s="1"/>
  <c r="I27" i="1"/>
  <c r="H27" i="1"/>
  <c r="G27" i="1"/>
  <c r="G31" i="1" s="1"/>
  <c r="L25" i="1"/>
  <c r="K25" i="1"/>
  <c r="G25" i="1"/>
  <c r="L24" i="1"/>
  <c r="K24" i="1"/>
  <c r="H24" i="1"/>
  <c r="G24" i="1"/>
  <c r="I24" i="1" s="1"/>
  <c r="K23" i="1"/>
  <c r="L23" i="1" s="1"/>
  <c r="I23" i="1"/>
  <c r="H23" i="1"/>
  <c r="G23" i="1"/>
  <c r="K22" i="1"/>
  <c r="L22" i="1" s="1"/>
  <c r="G22" i="1"/>
  <c r="L21" i="1"/>
  <c r="K21" i="1"/>
  <c r="G21" i="1"/>
  <c r="L20" i="1"/>
  <c r="K20" i="1"/>
  <c r="H20" i="1"/>
  <c r="G20" i="1"/>
  <c r="I20" i="1" s="1"/>
  <c r="K19" i="1"/>
  <c r="L19" i="1" s="1"/>
  <c r="I19" i="1"/>
  <c r="H19" i="1"/>
  <c r="G19" i="1"/>
  <c r="K18" i="1"/>
  <c r="L18" i="1" s="1"/>
  <c r="G18" i="1"/>
  <c r="H18" i="1" s="1"/>
  <c r="I18" i="1" s="1"/>
  <c r="L17" i="1"/>
  <c r="K17" i="1"/>
  <c r="G17" i="1"/>
  <c r="L16" i="1"/>
  <c r="K16" i="1"/>
  <c r="H16" i="1"/>
  <c r="G16" i="1"/>
  <c r="I16" i="1" s="1"/>
  <c r="K15" i="1"/>
  <c r="L15" i="1" s="1"/>
  <c r="I15" i="1"/>
  <c r="H15" i="1"/>
  <c r="G15" i="1"/>
  <c r="K14" i="1"/>
  <c r="L14" i="1" s="1"/>
  <c r="G14" i="1"/>
  <c r="H14" i="1" s="1"/>
  <c r="I14" i="1" s="1"/>
  <c r="L13" i="1"/>
  <c r="K13" i="1"/>
  <c r="G13" i="1"/>
  <c r="L11" i="1"/>
  <c r="K11" i="1"/>
  <c r="H11" i="1"/>
  <c r="G11" i="1"/>
  <c r="I11" i="1" s="1"/>
  <c r="K10" i="1"/>
  <c r="L10" i="1" s="1"/>
  <c r="I10" i="1"/>
  <c r="H10" i="1"/>
  <c r="G10" i="1"/>
  <c r="K9" i="1"/>
  <c r="L9" i="1" s="1"/>
  <c r="G9" i="1"/>
  <c r="H9" i="1" s="1"/>
  <c r="I9" i="1" s="1"/>
  <c r="L8" i="1"/>
  <c r="K8" i="1"/>
  <c r="G8" i="1"/>
  <c r="L7" i="1"/>
  <c r="K7" i="1"/>
  <c r="H7" i="1"/>
  <c r="G7" i="1"/>
  <c r="I7" i="1" s="1"/>
  <c r="K6" i="1"/>
  <c r="L6" i="1" s="1"/>
  <c r="I6" i="1"/>
  <c r="H6" i="1"/>
  <c r="G6" i="1"/>
  <c r="K5" i="1"/>
  <c r="L5" i="1" s="1"/>
  <c r="G5" i="1"/>
  <c r="H5" i="1" s="1"/>
  <c r="I5" i="1" s="1"/>
  <c r="L4" i="1"/>
  <c r="K4" i="1"/>
  <c r="G4" i="1"/>
  <c r="G12" i="1" s="1"/>
  <c r="L12" i="1" l="1"/>
  <c r="I13" i="1"/>
  <c r="L252" i="1"/>
  <c r="I33" i="1"/>
  <c r="I22" i="1"/>
  <c r="I25" i="1"/>
  <c r="M62" i="1"/>
  <c r="L26" i="1"/>
  <c r="H31" i="1"/>
  <c r="I31" i="1" s="1"/>
  <c r="L126" i="1"/>
  <c r="M126" i="1" s="1"/>
  <c r="L242" i="1"/>
  <c r="L86" i="1"/>
  <c r="I86" i="1"/>
  <c r="H163" i="1"/>
  <c r="I163" i="1" s="1"/>
  <c r="I167" i="1" s="1"/>
  <c r="I191" i="1"/>
  <c r="I204" i="1"/>
  <c r="G226" i="1"/>
  <c r="H245" i="1"/>
  <c r="I245" i="1" s="1"/>
  <c r="I287" i="1"/>
  <c r="H287" i="1"/>
  <c r="L294" i="1"/>
  <c r="G296" i="1"/>
  <c r="I295" i="1"/>
  <c r="I296" i="1" s="1"/>
  <c r="H316" i="1"/>
  <c r="I316" i="1" s="1"/>
  <c r="I335" i="1"/>
  <c r="H388" i="1"/>
  <c r="I388" i="1" s="1"/>
  <c r="H481" i="1"/>
  <c r="I481" i="1" s="1"/>
  <c r="H13" i="1"/>
  <c r="H17" i="1"/>
  <c r="I17" i="1" s="1"/>
  <c r="H21" i="1"/>
  <c r="I21" i="1" s="1"/>
  <c r="H25" i="1"/>
  <c r="G26" i="1"/>
  <c r="H29" i="1"/>
  <c r="I29" i="1" s="1"/>
  <c r="I32" i="1"/>
  <c r="H33" i="1"/>
  <c r="H36" i="1"/>
  <c r="H58" i="1" s="1"/>
  <c r="H40" i="1"/>
  <c r="I40" i="1" s="1"/>
  <c r="I43" i="1"/>
  <c r="H44" i="1"/>
  <c r="I44" i="1" s="1"/>
  <c r="I48" i="1"/>
  <c r="H48" i="1"/>
  <c r="H52" i="1"/>
  <c r="I52" i="1" s="1"/>
  <c r="H56" i="1"/>
  <c r="I56" i="1" s="1"/>
  <c r="I63" i="1"/>
  <c r="G77" i="1"/>
  <c r="M77" i="1" s="1"/>
  <c r="H63" i="1"/>
  <c r="I76" i="1"/>
  <c r="H76" i="1"/>
  <c r="H84" i="1"/>
  <c r="I84" i="1" s="1"/>
  <c r="H89" i="1"/>
  <c r="I89" i="1" s="1"/>
  <c r="L95" i="1"/>
  <c r="G126" i="1"/>
  <c r="H97" i="1"/>
  <c r="I97" i="1" s="1"/>
  <c r="H105" i="1"/>
  <c r="I105" i="1" s="1"/>
  <c r="I127" i="1"/>
  <c r="I128" i="1" s="1"/>
  <c r="G130" i="1"/>
  <c r="I135" i="1"/>
  <c r="H135" i="1"/>
  <c r="H143" i="1"/>
  <c r="I143" i="1" s="1"/>
  <c r="H151" i="1"/>
  <c r="I151" i="1" s="1"/>
  <c r="I158" i="1"/>
  <c r="H159" i="1"/>
  <c r="I159" i="1" s="1"/>
  <c r="I168" i="1"/>
  <c r="I169" i="1" s="1"/>
  <c r="G169" i="1"/>
  <c r="H168" i="1"/>
  <c r="H169" i="1" s="1"/>
  <c r="H173" i="1"/>
  <c r="I173" i="1" s="1"/>
  <c r="G188" i="1"/>
  <c r="H178" i="1"/>
  <c r="I178" i="1" s="1"/>
  <c r="H191" i="1"/>
  <c r="H201" i="1" s="1"/>
  <c r="H204" i="1"/>
  <c r="H211" i="1" s="1"/>
  <c r="G211" i="1"/>
  <c r="G242" i="1"/>
  <c r="H229" i="1"/>
  <c r="H242" i="1" s="1"/>
  <c r="H237" i="1"/>
  <c r="I237" i="1" s="1"/>
  <c r="H252" i="1"/>
  <c r="H244" i="1"/>
  <c r="H257" i="1"/>
  <c r="I257" i="1" s="1"/>
  <c r="G288" i="1"/>
  <c r="H262" i="1"/>
  <c r="I269" i="1"/>
  <c r="H270" i="1"/>
  <c r="I270" i="1" s="1"/>
  <c r="I278" i="1"/>
  <c r="H278" i="1"/>
  <c r="H295" i="1"/>
  <c r="H296" i="1" s="1"/>
  <c r="L309" i="1"/>
  <c r="I310" i="1"/>
  <c r="I312" i="1" s="1"/>
  <c r="G325" i="1"/>
  <c r="H320" i="1"/>
  <c r="I320" i="1" s="1"/>
  <c r="H334" i="1"/>
  <c r="I334" i="1" s="1"/>
  <c r="L349" i="1"/>
  <c r="I347" i="1"/>
  <c r="H347" i="1"/>
  <c r="H362" i="1"/>
  <c r="I362" i="1" s="1"/>
  <c r="I374" i="1"/>
  <c r="L386" i="1"/>
  <c r="H391" i="1"/>
  <c r="I391" i="1" s="1"/>
  <c r="I394" i="1"/>
  <c r="H401" i="1"/>
  <c r="I401" i="1" s="1"/>
  <c r="L408" i="1"/>
  <c r="I431" i="1"/>
  <c r="H431" i="1"/>
  <c r="G460" i="1"/>
  <c r="H459" i="1"/>
  <c r="I459" i="1" s="1"/>
  <c r="H476" i="1"/>
  <c r="I476" i="1" s="1"/>
  <c r="I498" i="1"/>
  <c r="H498" i="1"/>
  <c r="H59" i="1"/>
  <c r="H62" i="1" s="1"/>
  <c r="H167" i="1"/>
  <c r="I186" i="1"/>
  <c r="H187" i="1"/>
  <c r="I187" i="1" s="1"/>
  <c r="I200" i="1"/>
  <c r="H200" i="1"/>
  <c r="H205" i="1"/>
  <c r="I205" i="1" s="1"/>
  <c r="H217" i="1"/>
  <c r="H220" i="1"/>
  <c r="I220" i="1" s="1"/>
  <c r="G319" i="1"/>
  <c r="I330" i="1"/>
  <c r="H330" i="1"/>
  <c r="H343" i="1"/>
  <c r="I343" i="1" s="1"/>
  <c r="I351" i="1"/>
  <c r="G352" i="1"/>
  <c r="H351" i="1"/>
  <c r="H441" i="1"/>
  <c r="H445" i="1" s="1"/>
  <c r="G445" i="1"/>
  <c r="H595" i="1"/>
  <c r="I595" i="1"/>
  <c r="H4" i="1"/>
  <c r="H8" i="1"/>
  <c r="I8" i="1" s="1"/>
  <c r="I4" i="1"/>
  <c r="H22" i="1"/>
  <c r="H35" i="1"/>
  <c r="I35" i="1" s="1"/>
  <c r="H39" i="1"/>
  <c r="I39" i="1" s="1"/>
  <c r="H43" i="1"/>
  <c r="H47" i="1"/>
  <c r="I47" i="1" s="1"/>
  <c r="H51" i="1"/>
  <c r="I51" i="1" s="1"/>
  <c r="H55" i="1"/>
  <c r="I55" i="1" s="1"/>
  <c r="G62" i="1"/>
  <c r="I70" i="1"/>
  <c r="H71" i="1"/>
  <c r="I71" i="1" s="1"/>
  <c r="I74" i="1"/>
  <c r="H75" i="1"/>
  <c r="I75" i="1" s="1"/>
  <c r="G81" i="1"/>
  <c r="M81" i="1" s="1"/>
  <c r="H83" i="1"/>
  <c r="I83" i="1" s="1"/>
  <c r="H88" i="1"/>
  <c r="I88" i="1" s="1"/>
  <c r="G95" i="1"/>
  <c r="H96" i="1"/>
  <c r="I96" i="1" s="1"/>
  <c r="H104" i="1"/>
  <c r="I104" i="1" s="1"/>
  <c r="I112" i="1"/>
  <c r="I113" i="1"/>
  <c r="H113" i="1"/>
  <c r="I116" i="1"/>
  <c r="H117" i="1"/>
  <c r="I117" i="1" s="1"/>
  <c r="I120" i="1"/>
  <c r="H121" i="1"/>
  <c r="I121" i="1" s="1"/>
  <c r="I124" i="1"/>
  <c r="H125" i="1"/>
  <c r="I125" i="1" s="1"/>
  <c r="H129" i="1"/>
  <c r="H130" i="1" s="1"/>
  <c r="H134" i="1"/>
  <c r="I134" i="1" s="1"/>
  <c r="H142" i="1"/>
  <c r="I142" i="1" s="1"/>
  <c r="H150" i="1"/>
  <c r="I150" i="1" s="1"/>
  <c r="H158" i="1"/>
  <c r="H172" i="1"/>
  <c r="H176" i="1" s="1"/>
  <c r="H177" i="1"/>
  <c r="I177" i="1" s="1"/>
  <c r="I182" i="1"/>
  <c r="H183" i="1"/>
  <c r="I183" i="1" s="1"/>
  <c r="I189" i="1"/>
  <c r="I195" i="1"/>
  <c r="H196" i="1"/>
  <c r="I196" i="1" s="1"/>
  <c r="I202" i="1"/>
  <c r="I208" i="1"/>
  <c r="H209" i="1"/>
  <c r="I209" i="1" s="1"/>
  <c r="H216" i="1"/>
  <c r="I216" i="1" s="1"/>
  <c r="I223" i="1"/>
  <c r="H224" i="1"/>
  <c r="I224" i="1" s="1"/>
  <c r="H236" i="1"/>
  <c r="I236" i="1" s="1"/>
  <c r="I243" i="1"/>
  <c r="I248" i="1"/>
  <c r="I249" i="1"/>
  <c r="H249" i="1"/>
  <c r="H256" i="1"/>
  <c r="I256" i="1" s="1"/>
  <c r="H269" i="1"/>
  <c r="H277" i="1"/>
  <c r="I277" i="1" s="1"/>
  <c r="H285" i="1"/>
  <c r="I285" i="1" s="1"/>
  <c r="H292" i="1"/>
  <c r="H294" i="1" s="1"/>
  <c r="G294" i="1"/>
  <c r="G304" i="1"/>
  <c r="M304" i="1" s="1"/>
  <c r="I299" i="1"/>
  <c r="H300" i="1"/>
  <c r="H304" i="1" s="1"/>
  <c r="I303" i="1"/>
  <c r="I306" i="1"/>
  <c r="H307" i="1"/>
  <c r="H309" i="1" s="1"/>
  <c r="H315" i="1"/>
  <c r="I314" i="1"/>
  <c r="G315" i="1"/>
  <c r="I324" i="1"/>
  <c r="H324" i="1"/>
  <c r="G338" i="1"/>
  <c r="I340" i="1"/>
  <c r="G378" i="1"/>
  <c r="H373" i="1"/>
  <c r="I373" i="1" s="1"/>
  <c r="I386" i="1"/>
  <c r="H383" i="1"/>
  <c r="I383" i="1" s="1"/>
  <c r="H393" i="1"/>
  <c r="I393" i="1" s="1"/>
  <c r="H404" i="1"/>
  <c r="I404" i="1" s="1"/>
  <c r="L412" i="1"/>
  <c r="I451" i="1"/>
  <c r="H451" i="1"/>
  <c r="H455" i="1"/>
  <c r="I455" i="1" s="1"/>
  <c r="H610" i="1"/>
  <c r="I610" i="1" s="1"/>
  <c r="H613" i="1"/>
  <c r="I613" i="1"/>
  <c r="I162" i="1"/>
  <c r="I181" i="1"/>
  <c r="H192" i="1"/>
  <c r="I192" i="1" s="1"/>
  <c r="I199" i="1"/>
  <c r="I219" i="1"/>
  <c r="I226" i="1" s="1"/>
  <c r="I244" i="1"/>
  <c r="I286" i="1"/>
  <c r="I355" i="1"/>
  <c r="H398" i="1"/>
  <c r="I398" i="1" s="1"/>
  <c r="G412" i="1"/>
  <c r="H412" i="1" s="1"/>
  <c r="H409" i="1"/>
  <c r="I409" i="1" s="1"/>
  <c r="I412" i="1" s="1"/>
  <c r="L58" i="1"/>
  <c r="M58" i="1" s="1"/>
  <c r="I66" i="1"/>
  <c r="H67" i="1"/>
  <c r="I67" i="1" s="1"/>
  <c r="H81" i="1"/>
  <c r="I79" i="1"/>
  <c r="H80" i="1"/>
  <c r="I80" i="1" s="1"/>
  <c r="I93" i="1"/>
  <c r="H94" i="1"/>
  <c r="I94" i="1" s="1"/>
  <c r="I100" i="1"/>
  <c r="I101" i="1"/>
  <c r="H101" i="1"/>
  <c r="I108" i="1"/>
  <c r="H109" i="1"/>
  <c r="I109" i="1" s="1"/>
  <c r="G160" i="1"/>
  <c r="H131" i="1"/>
  <c r="I138" i="1"/>
  <c r="H139" i="1"/>
  <c r="I139" i="1" s="1"/>
  <c r="I146" i="1"/>
  <c r="I147" i="1"/>
  <c r="H147" i="1"/>
  <c r="I154" i="1"/>
  <c r="H155" i="1"/>
  <c r="I155" i="1" s="1"/>
  <c r="I166" i="1"/>
  <c r="G167" i="1"/>
  <c r="G176" i="1"/>
  <c r="L181" i="1"/>
  <c r="L188" i="1" s="1"/>
  <c r="L184" i="1"/>
  <c r="L211" i="1"/>
  <c r="G217" i="1"/>
  <c r="M217" i="1" s="1"/>
  <c r="I212" i="1"/>
  <c r="H213" i="1"/>
  <c r="I213" i="1" s="1"/>
  <c r="L226" i="1"/>
  <c r="I232" i="1"/>
  <c r="H233" i="1"/>
  <c r="I233" i="1" s="1"/>
  <c r="I240" i="1"/>
  <c r="H241" i="1"/>
  <c r="I241" i="1" s="1"/>
  <c r="H253" i="1"/>
  <c r="H261" i="1" s="1"/>
  <c r="I260" i="1"/>
  <c r="G261" i="1"/>
  <c r="L288" i="1"/>
  <c r="I265" i="1"/>
  <c r="H266" i="1"/>
  <c r="I266" i="1" s="1"/>
  <c r="I273" i="1"/>
  <c r="I274" i="1"/>
  <c r="H274" i="1"/>
  <c r="I281" i="1"/>
  <c r="H282" i="1"/>
  <c r="I282" i="1" s="1"/>
  <c r="I315" i="1"/>
  <c r="L338" i="1"/>
  <c r="G349" i="1"/>
  <c r="H339" i="1"/>
  <c r="I344" i="1"/>
  <c r="G358" i="1"/>
  <c r="H357" i="1"/>
  <c r="I357" i="1" s="1"/>
  <c r="G365" i="1"/>
  <c r="G368" i="1"/>
  <c r="H367" i="1"/>
  <c r="I367" i="1" s="1"/>
  <c r="H377" i="1"/>
  <c r="I377" i="1" s="1"/>
  <c r="I381" i="1"/>
  <c r="L391" i="1"/>
  <c r="L401" i="1"/>
  <c r="I399" i="1"/>
  <c r="H408" i="1"/>
  <c r="I403" i="1"/>
  <c r="H486" i="1"/>
  <c r="H489" i="1" s="1"/>
  <c r="G489" i="1"/>
  <c r="G508" i="1"/>
  <c r="H503" i="1"/>
  <c r="H508" i="1" s="1"/>
  <c r="H725" i="1"/>
  <c r="I725" i="1" s="1"/>
  <c r="H423" i="1"/>
  <c r="H424" i="1" s="1"/>
  <c r="I424" i="1" s="1"/>
  <c r="G434" i="1"/>
  <c r="L440" i="1"/>
  <c r="H478" i="1"/>
  <c r="H494" i="1"/>
  <c r="I494" i="1" s="1"/>
  <c r="H540" i="1"/>
  <c r="I540" i="1" s="1"/>
  <c r="H561" i="1"/>
  <c r="G571" i="1"/>
  <c r="H570" i="1"/>
  <c r="H571" i="1" s="1"/>
  <c r="H575" i="1"/>
  <c r="I575" i="1"/>
  <c r="H598" i="1"/>
  <c r="I598" i="1" s="1"/>
  <c r="H602" i="1"/>
  <c r="I600" i="1"/>
  <c r="G617" i="1"/>
  <c r="H607" i="1"/>
  <c r="I607" i="1" s="1"/>
  <c r="I615" i="1"/>
  <c r="H615" i="1"/>
  <c r="L714" i="1"/>
  <c r="L756" i="1"/>
  <c r="L776" i="1"/>
  <c r="H770" i="1"/>
  <c r="I770" i="1" s="1"/>
  <c r="H792" i="1"/>
  <c r="I792" i="1"/>
  <c r="H893" i="1"/>
  <c r="I892" i="1"/>
  <c r="G201" i="1"/>
  <c r="H321" i="1"/>
  <c r="I321" i="1" s="1"/>
  <c r="H326" i="1"/>
  <c r="I326" i="1" s="1"/>
  <c r="H331" i="1"/>
  <c r="I331" i="1" s="1"/>
  <c r="H335" i="1"/>
  <c r="H340" i="1"/>
  <c r="H344" i="1"/>
  <c r="H348" i="1"/>
  <c r="I348" i="1" s="1"/>
  <c r="H353" i="1"/>
  <c r="H359" i="1"/>
  <c r="H363" i="1"/>
  <c r="I363" i="1" s="1"/>
  <c r="H369" i="1"/>
  <c r="H372" i="1" s="1"/>
  <c r="H374" i="1"/>
  <c r="H379" i="1"/>
  <c r="I379" i="1" s="1"/>
  <c r="H384" i="1"/>
  <c r="I384" i="1" s="1"/>
  <c r="H389" i="1"/>
  <c r="I389" i="1" s="1"/>
  <c r="H394" i="1"/>
  <c r="H399" i="1"/>
  <c r="H405" i="1"/>
  <c r="I405" i="1" s="1"/>
  <c r="H410" i="1"/>
  <c r="I410" i="1" s="1"/>
  <c r="I413" i="1"/>
  <c r="I416" i="1"/>
  <c r="G417" i="1"/>
  <c r="I417" i="1" s="1"/>
  <c r="I419" i="1"/>
  <c r="I422" i="1"/>
  <c r="L434" i="1"/>
  <c r="H436" i="1"/>
  <c r="I436" i="1" s="1"/>
  <c r="L445" i="1"/>
  <c r="I446" i="1"/>
  <c r="H446" i="1"/>
  <c r="I454" i="1"/>
  <c r="H460" i="1"/>
  <c r="I468" i="1"/>
  <c r="I471" i="1"/>
  <c r="H490" i="1"/>
  <c r="L508" i="1"/>
  <c r="L520" i="1"/>
  <c r="G530" i="1"/>
  <c r="I521" i="1"/>
  <c r="H521" i="1"/>
  <c r="H542" i="1"/>
  <c r="I542" i="1" s="1"/>
  <c r="L596" i="1"/>
  <c r="I577" i="1"/>
  <c r="H577" i="1"/>
  <c r="H580" i="1"/>
  <c r="I580" i="1"/>
  <c r="L617" i="1"/>
  <c r="L660" i="1"/>
  <c r="H686" i="1"/>
  <c r="I686" i="1" s="1"/>
  <c r="G803" i="1"/>
  <c r="I353" i="1"/>
  <c r="I359" i="1"/>
  <c r="G421" i="1"/>
  <c r="H418" i="1"/>
  <c r="H421" i="1" s="1"/>
  <c r="H427" i="1"/>
  <c r="I427" i="1" s="1"/>
  <c r="I432" i="1"/>
  <c r="H440" i="1"/>
  <c r="I440" i="1" s="1"/>
  <c r="I435" i="1"/>
  <c r="I452" i="1"/>
  <c r="H465" i="1"/>
  <c r="I465" i="1" s="1"/>
  <c r="L478" i="1"/>
  <c r="I470" i="1"/>
  <c r="H470" i="1"/>
  <c r="H473" i="1"/>
  <c r="I473" i="1" s="1"/>
  <c r="I477" i="1"/>
  <c r="I487" i="1"/>
  <c r="I499" i="1"/>
  <c r="G502" i="1"/>
  <c r="L554" i="1"/>
  <c r="I539" i="1"/>
  <c r="H539" i="1"/>
  <c r="H574" i="1"/>
  <c r="I574" i="1" s="1"/>
  <c r="I582" i="1"/>
  <c r="H582" i="1"/>
  <c r="G599" i="1"/>
  <c r="I597" i="1"/>
  <c r="H597" i="1"/>
  <c r="I602" i="1"/>
  <c r="H608" i="1"/>
  <c r="I608" i="1"/>
  <c r="H677" i="1"/>
  <c r="I677" i="1" s="1"/>
  <c r="G687" i="1"/>
  <c r="H712" i="1"/>
  <c r="I712" i="1" s="1"/>
  <c r="G520" i="1"/>
  <c r="I520" i="1" s="1"/>
  <c r="I568" i="1"/>
  <c r="G569" i="1"/>
  <c r="I569" i="1" s="1"/>
  <c r="I578" i="1"/>
  <c r="I616" i="1"/>
  <c r="H628" i="1"/>
  <c r="H633" i="1" s="1"/>
  <c r="H638" i="1"/>
  <c r="I638" i="1" s="1"/>
  <c r="L668" i="1"/>
  <c r="M668" i="1" s="1"/>
  <c r="I663" i="1"/>
  <c r="H663" i="1"/>
  <c r="L687" i="1"/>
  <c r="I676" i="1"/>
  <c r="I681" i="1"/>
  <c r="H681" i="1"/>
  <c r="L703" i="1"/>
  <c r="I703" i="1"/>
  <c r="G739" i="1"/>
  <c r="H736" i="1"/>
  <c r="H739" i="1" s="1"/>
  <c r="H743" i="1"/>
  <c r="I743" i="1" s="1"/>
  <c r="H746" i="1"/>
  <c r="I746" i="1" s="1"/>
  <c r="G767" i="1"/>
  <c r="H761" i="1"/>
  <c r="G776" i="1"/>
  <c r="I774" i="1"/>
  <c r="H774" i="1"/>
  <c r="G786" i="1"/>
  <c r="H783" i="1"/>
  <c r="H786" i="1" s="1"/>
  <c r="G886" i="1"/>
  <c r="I886" i="1" s="1"/>
  <c r="H884" i="1"/>
  <c r="H886" i="1" s="1"/>
  <c r="I940" i="1"/>
  <c r="I937" i="1"/>
  <c r="H937" i="1"/>
  <c r="H940" i="1" s="1"/>
  <c r="H419" i="1"/>
  <c r="H425" i="1"/>
  <c r="H428" i="1"/>
  <c r="I428" i="1" s="1"/>
  <c r="H432" i="1"/>
  <c r="H437" i="1"/>
  <c r="I437" i="1" s="1"/>
  <c r="H442" i="1"/>
  <c r="I442" i="1" s="1"/>
  <c r="H447" i="1"/>
  <c r="I447" i="1" s="1"/>
  <c r="H452" i="1"/>
  <c r="H461" i="1"/>
  <c r="H466" i="1"/>
  <c r="I466" i="1" s="1"/>
  <c r="G467" i="1"/>
  <c r="H471" i="1"/>
  <c r="H477" i="1"/>
  <c r="G478" i="1"/>
  <c r="H482" i="1"/>
  <c r="I482" i="1" s="1"/>
  <c r="G483" i="1"/>
  <c r="H487" i="1"/>
  <c r="H491" i="1"/>
  <c r="I491" i="1" s="1"/>
  <c r="H495" i="1"/>
  <c r="I495" i="1" s="1"/>
  <c r="H499" i="1"/>
  <c r="H504" i="1"/>
  <c r="I504" i="1" s="1"/>
  <c r="G514" i="1"/>
  <c r="I514" i="1" s="1"/>
  <c r="H515" i="1"/>
  <c r="G517" i="1"/>
  <c r="I518" i="1"/>
  <c r="H522" i="1"/>
  <c r="I522" i="1" s="1"/>
  <c r="I523" i="1"/>
  <c r="H525" i="1"/>
  <c r="I525" i="1" s="1"/>
  <c r="I526" i="1"/>
  <c r="I531" i="1"/>
  <c r="H543" i="1"/>
  <c r="I543" i="1" s="1"/>
  <c r="I544" i="1"/>
  <c r="H546" i="1"/>
  <c r="I546" i="1" s="1"/>
  <c r="I547" i="1"/>
  <c r="G564" i="1"/>
  <c r="H566" i="1"/>
  <c r="H567" i="1" s="1"/>
  <c r="G567" i="1"/>
  <c r="H568" i="1"/>
  <c r="H569" i="1" s="1"/>
  <c r="H578" i="1"/>
  <c r="I579" i="1"/>
  <c r="H583" i="1"/>
  <c r="I583" i="1" s="1"/>
  <c r="I584" i="1"/>
  <c r="H586" i="1"/>
  <c r="I586" i="1" s="1"/>
  <c r="I587" i="1"/>
  <c r="H611" i="1"/>
  <c r="I611" i="1" s="1"/>
  <c r="I612" i="1"/>
  <c r="H616" i="1"/>
  <c r="H619" i="1"/>
  <c r="H620" i="1"/>
  <c r="I620" i="1" s="1"/>
  <c r="H622" i="1"/>
  <c r="H623" i="1" s="1"/>
  <c r="G633" i="1"/>
  <c r="I632" i="1"/>
  <c r="H632" i="1"/>
  <c r="G639" i="1"/>
  <c r="L646" i="1"/>
  <c r="G660" i="1"/>
  <c r="H649" i="1"/>
  <c r="H654" i="1"/>
  <c r="I654" i="1" s="1"/>
  <c r="H668" i="1"/>
  <c r="G668" i="1"/>
  <c r="I668" i="1" s="1"/>
  <c r="I685" i="1"/>
  <c r="H685" i="1"/>
  <c r="L695" i="1"/>
  <c r="H692" i="1"/>
  <c r="I692" i="1" s="1"/>
  <c r="G714" i="1"/>
  <c r="H704" i="1"/>
  <c r="I704" i="1" s="1"/>
  <c r="L727" i="1"/>
  <c r="H717" i="1"/>
  <c r="H727" i="1" s="1"/>
  <c r="I730" i="1"/>
  <c r="H730" i="1"/>
  <c r="L743" i="1"/>
  <c r="H747" i="1"/>
  <c r="I755" i="1"/>
  <c r="H755" i="1"/>
  <c r="H765" i="1"/>
  <c r="I765" i="1" s="1"/>
  <c r="G779" i="1"/>
  <c r="I779" i="1" s="1"/>
  <c r="H777" i="1"/>
  <c r="H779" i="1" s="1"/>
  <c r="I780" i="1"/>
  <c r="L803" i="1"/>
  <c r="H794" i="1"/>
  <c r="I794" i="1" s="1"/>
  <c r="L807" i="1"/>
  <c r="I817" i="1"/>
  <c r="H824" i="1"/>
  <c r="I821" i="1"/>
  <c r="I839" i="1"/>
  <c r="G916" i="1"/>
  <c r="H913" i="1"/>
  <c r="I425" i="1"/>
  <c r="H509" i="1"/>
  <c r="I510" i="1"/>
  <c r="I512" i="1"/>
  <c r="H516" i="1"/>
  <c r="I516" i="1" s="1"/>
  <c r="H526" i="1"/>
  <c r="I527" i="1"/>
  <c r="H531" i="1"/>
  <c r="I532" i="1"/>
  <c r="I535" i="1"/>
  <c r="H547" i="1"/>
  <c r="I548" i="1"/>
  <c r="I551" i="1"/>
  <c r="G554" i="1"/>
  <c r="H555" i="1"/>
  <c r="I556" i="1"/>
  <c r="I558" i="1"/>
  <c r="G561" i="1"/>
  <c r="I561" i="1" s="1"/>
  <c r="H562" i="1"/>
  <c r="H564" i="1" s="1"/>
  <c r="I563" i="1"/>
  <c r="I565" i="1"/>
  <c r="G596" i="1"/>
  <c r="H587" i="1"/>
  <c r="I588" i="1"/>
  <c r="I591" i="1"/>
  <c r="I593" i="1"/>
  <c r="I603" i="1"/>
  <c r="I619" i="1"/>
  <c r="G623" i="1"/>
  <c r="I631" i="1"/>
  <c r="H639" i="1"/>
  <c r="I643" i="1"/>
  <c r="H643" i="1"/>
  <c r="H646" i="1" s="1"/>
  <c r="I653" i="1"/>
  <c r="H658" i="1"/>
  <c r="I658" i="1" s="1"/>
  <c r="I661" i="1"/>
  <c r="I667" i="1"/>
  <c r="I671" i="1"/>
  <c r="I673" i="1"/>
  <c r="H673" i="1"/>
  <c r="I684" i="1"/>
  <c r="G695" i="1"/>
  <c r="I691" i="1"/>
  <c r="H698" i="1"/>
  <c r="H699" i="1" s="1"/>
  <c r="I699" i="1" s="1"/>
  <c r="H708" i="1"/>
  <c r="I708" i="1" s="1"/>
  <c r="I716" i="1"/>
  <c r="H721" i="1"/>
  <c r="I721" i="1" s="1"/>
  <c r="H731" i="1"/>
  <c r="I729" i="1"/>
  <c r="L739" i="1"/>
  <c r="I741" i="1"/>
  <c r="H741" i="1"/>
  <c r="I744" i="1"/>
  <c r="H751" i="1"/>
  <c r="H752" i="1" s="1"/>
  <c r="I752" i="1" s="1"/>
  <c r="H756" i="1"/>
  <c r="I754" i="1"/>
  <c r="L767" i="1"/>
  <c r="I764" i="1"/>
  <c r="L786" i="1"/>
  <c r="H788" i="1"/>
  <c r="L820" i="1"/>
  <c r="I900" i="1"/>
  <c r="I621" i="1"/>
  <c r="I627" i="1"/>
  <c r="I637" i="1"/>
  <c r="I642" i="1"/>
  <c r="H672" i="1"/>
  <c r="I672" i="1" s="1"/>
  <c r="I696" i="1"/>
  <c r="H703" i="1"/>
  <c r="G731" i="1"/>
  <c r="I731" i="1" s="1"/>
  <c r="H735" i="1"/>
  <c r="I735" i="1" s="1"/>
  <c r="I740" i="1"/>
  <c r="G747" i="1"/>
  <c r="G756" i="1"/>
  <c r="I756" i="1" s="1"/>
  <c r="H760" i="1"/>
  <c r="I760" i="1" s="1"/>
  <c r="I787" i="1"/>
  <c r="I795" i="1"/>
  <c r="L812" i="1"/>
  <c r="G827" i="1"/>
  <c r="I827" i="1" s="1"/>
  <c r="H825" i="1"/>
  <c r="H827" i="1" s="1"/>
  <c r="G831" i="1"/>
  <c r="I829" i="1"/>
  <c r="H830" i="1"/>
  <c r="I830" i="1" s="1"/>
  <c r="I834" i="1"/>
  <c r="L851" i="1"/>
  <c r="M851" i="1" s="1"/>
  <c r="I852" i="1"/>
  <c r="H853" i="1"/>
  <c r="H855" i="1" s="1"/>
  <c r="I855" i="1" s="1"/>
  <c r="L868" i="1"/>
  <c r="H871" i="1"/>
  <c r="I871" i="1" s="1"/>
  <c r="L906" i="1"/>
  <c r="L980" i="1"/>
  <c r="G727" i="1"/>
  <c r="I804" i="1"/>
  <c r="G807" i="1"/>
  <c r="L816" i="1"/>
  <c r="L838" i="1"/>
  <c r="L842" i="1"/>
  <c r="I851" i="1"/>
  <c r="H861" i="1"/>
  <c r="I861" i="1" s="1"/>
  <c r="I870" i="1"/>
  <c r="H870" i="1"/>
  <c r="G875" i="1"/>
  <c r="H908" i="1"/>
  <c r="I908" i="1" s="1"/>
  <c r="I923" i="1"/>
  <c r="H625" i="1"/>
  <c r="H635" i="1"/>
  <c r="H690" i="1"/>
  <c r="H768" i="1"/>
  <c r="H799" i="1"/>
  <c r="I799" i="1" s="1"/>
  <c r="I800" i="1"/>
  <c r="H804" i="1"/>
  <c r="H807" i="1" s="1"/>
  <c r="I805" i="1"/>
  <c r="H809" i="1"/>
  <c r="I809" i="1" s="1"/>
  <c r="I810" i="1"/>
  <c r="G816" i="1"/>
  <c r="I813" i="1"/>
  <c r="H814" i="1"/>
  <c r="H816" i="1" s="1"/>
  <c r="G820" i="1"/>
  <c r="I818" i="1"/>
  <c r="H819" i="1"/>
  <c r="I819" i="1" s="1"/>
  <c r="I823" i="1"/>
  <c r="G824" i="1"/>
  <c r="I828" i="1"/>
  <c r="G838" i="1"/>
  <c r="I835" i="1"/>
  <c r="H836" i="1"/>
  <c r="H838" i="1" s="1"/>
  <c r="I840" i="1"/>
  <c r="H841" i="1"/>
  <c r="I841" i="1" s="1"/>
  <c r="H846" i="1"/>
  <c r="I844" i="1"/>
  <c r="H845" i="1"/>
  <c r="I845" i="1" s="1"/>
  <c r="I860" i="1"/>
  <c r="G862" i="1"/>
  <c r="H860" i="1"/>
  <c r="H875" i="1"/>
  <c r="I869" i="1"/>
  <c r="I874" i="1"/>
  <c r="H874" i="1"/>
  <c r="M883" i="1"/>
  <c r="L890" i="1"/>
  <c r="I893" i="1"/>
  <c r="H901" i="1"/>
  <c r="H902" i="1" s="1"/>
  <c r="I902" i="1" s="1"/>
  <c r="G909" i="1"/>
  <c r="H907" i="1"/>
  <c r="H914" i="1"/>
  <c r="I914" i="1" s="1"/>
  <c r="H923" i="1"/>
  <c r="I922" i="1"/>
  <c r="I989" i="1"/>
  <c r="H989" i="1"/>
  <c r="G996" i="1"/>
  <c r="H991" i="1"/>
  <c r="I991" i="1" s="1"/>
  <c r="H995" i="1"/>
  <c r="I995" i="1" s="1"/>
  <c r="I849" i="1"/>
  <c r="I850" i="1"/>
  <c r="H850" i="1"/>
  <c r="H851" i="1"/>
  <c r="H880" i="1"/>
  <c r="H883" i="1" s="1"/>
  <c r="G883" i="1"/>
  <c r="H931" i="1"/>
  <c r="H932" i="1" s="1"/>
  <c r="I932" i="1" s="1"/>
  <c r="G944" i="1"/>
  <c r="H941" i="1"/>
  <c r="H944" i="1" s="1"/>
  <c r="L948" i="1"/>
  <c r="L987" i="1"/>
  <c r="L995" i="1" s="1"/>
  <c r="H996" i="1"/>
  <c r="L1012" i="1"/>
  <c r="G842" i="1"/>
  <c r="G846" i="1"/>
  <c r="I846" i="1" s="1"/>
  <c r="H849" i="1"/>
  <c r="L855" i="1"/>
  <c r="M855" i="1" s="1"/>
  <c r="H856" i="1"/>
  <c r="H859" i="1" s="1"/>
  <c r="G859" i="1"/>
  <c r="I865" i="1"/>
  <c r="H866" i="1"/>
  <c r="H868" i="1" s="1"/>
  <c r="I868" i="1" s="1"/>
  <c r="H876" i="1"/>
  <c r="H879" i="1" s="1"/>
  <c r="G879" i="1"/>
  <c r="H890" i="1"/>
  <c r="I890" i="1" s="1"/>
  <c r="I888" i="1"/>
  <c r="H889" i="1"/>
  <c r="I889" i="1" s="1"/>
  <c r="I894" i="1"/>
  <c r="H895" i="1"/>
  <c r="H896" i="1" s="1"/>
  <c r="G899" i="1"/>
  <c r="I899" i="1" s="1"/>
  <c r="I897" i="1"/>
  <c r="H897" i="1"/>
  <c r="H899" i="1" s="1"/>
  <c r="H903" i="1"/>
  <c r="H906" i="1" s="1"/>
  <c r="G906" i="1"/>
  <c r="I906" i="1" s="1"/>
  <c r="I912" i="1"/>
  <c r="H920" i="1"/>
  <c r="I920" i="1" s="1"/>
  <c r="I918" i="1"/>
  <c r="I919" i="1"/>
  <c r="H919" i="1"/>
  <c r="H925" i="1"/>
  <c r="I925" i="1" s="1"/>
  <c r="I935" i="1"/>
  <c r="H946" i="1"/>
  <c r="H948" i="1" s="1"/>
  <c r="I948" i="1" s="1"/>
  <c r="L971" i="1"/>
  <c r="H980" i="1"/>
  <c r="I980" i="1" s="1"/>
  <c r="I974" i="1"/>
  <c r="I975" i="1"/>
  <c r="H975" i="1"/>
  <c r="I978" i="1"/>
  <c r="H979" i="1"/>
  <c r="I979" i="1" s="1"/>
  <c r="H990" i="1"/>
  <c r="I990" i="1" s="1"/>
  <c r="G1054" i="1"/>
  <c r="L1054" i="1"/>
  <c r="H1016" i="1"/>
  <c r="I1016" i="1" s="1"/>
  <c r="L916" i="1"/>
  <c r="H926" i="1"/>
  <c r="I926" i="1" s="1"/>
  <c r="I929" i="1"/>
  <c r="I950" i="1"/>
  <c r="H951" i="1"/>
  <c r="I951" i="1" s="1"/>
  <c r="I954" i="1"/>
  <c r="I955" i="1"/>
  <c r="H955" i="1"/>
  <c r="I958" i="1"/>
  <c r="H959" i="1"/>
  <c r="I959" i="1" s="1"/>
  <c r="I962" i="1"/>
  <c r="H963" i="1"/>
  <c r="I963" i="1" s="1"/>
  <c r="I966" i="1"/>
  <c r="H967" i="1"/>
  <c r="I967" i="1" s="1"/>
  <c r="I970" i="1"/>
  <c r="G971" i="1"/>
  <c r="H984" i="1"/>
  <c r="H987" i="1" s="1"/>
  <c r="I1014" i="1"/>
  <c r="I1026" i="1"/>
  <c r="H1027" i="1"/>
  <c r="I1027" i="1" s="1"/>
  <c r="I1030" i="1"/>
  <c r="H1031" i="1"/>
  <c r="I1031" i="1" s="1"/>
  <c r="I1035" i="1"/>
  <c r="H1036" i="1"/>
  <c r="I1036" i="1" s="1"/>
  <c r="I1049" i="1"/>
  <c r="I1050" i="1"/>
  <c r="H1050" i="1"/>
  <c r="I924" i="1"/>
  <c r="I930" i="1"/>
  <c r="I936" i="1"/>
  <c r="I945" i="1"/>
  <c r="I983" i="1"/>
  <c r="L1175" i="1"/>
  <c r="G1114" i="1"/>
  <c r="I1116" i="1"/>
  <c r="I1175" i="1" s="1"/>
  <c r="I987" i="1" l="1"/>
  <c r="I81" i="1"/>
  <c r="I188" i="1"/>
  <c r="I95" i="1"/>
  <c r="I635" i="1"/>
  <c r="H636" i="1"/>
  <c r="I636" i="1" s="1"/>
  <c r="I687" i="1"/>
  <c r="I567" i="1"/>
  <c r="I767" i="1"/>
  <c r="H596" i="1"/>
  <c r="H483" i="1"/>
  <c r="H617" i="1"/>
  <c r="I77" i="1"/>
  <c r="H226" i="1"/>
  <c r="H971" i="1"/>
  <c r="H997" i="1" s="1"/>
  <c r="I946" i="1"/>
  <c r="I866" i="1"/>
  <c r="I862" i="1"/>
  <c r="I625" i="1"/>
  <c r="H626" i="1"/>
  <c r="I626" i="1" s="1"/>
  <c r="H812" i="1"/>
  <c r="I812" i="1" s="1"/>
  <c r="I646" i="1"/>
  <c r="H803" i="1"/>
  <c r="I751" i="1"/>
  <c r="H554" i="1"/>
  <c r="I554" i="1" s="1"/>
  <c r="H916" i="1"/>
  <c r="I633" i="1"/>
  <c r="I478" i="1"/>
  <c r="H434" i="1"/>
  <c r="I434" i="1" s="1"/>
  <c r="I783" i="1"/>
  <c r="I418" i="1"/>
  <c r="H502" i="1"/>
  <c r="I571" i="1"/>
  <c r="I503" i="1"/>
  <c r="I486" i="1"/>
  <c r="I489" i="1" s="1"/>
  <c r="H349" i="1"/>
  <c r="I253" i="1"/>
  <c r="I261" i="1" s="1"/>
  <c r="H160" i="1"/>
  <c r="I338" i="1"/>
  <c r="H338" i="1"/>
  <c r="I307" i="1"/>
  <c r="I309" i="1" s="1"/>
  <c r="I300" i="1"/>
  <c r="I12" i="1"/>
  <c r="I441" i="1"/>
  <c r="I319" i="1"/>
  <c r="H319" i="1"/>
  <c r="I460" i="1"/>
  <c r="H325" i="1"/>
  <c r="I325" i="1" s="1"/>
  <c r="H288" i="1"/>
  <c r="I36" i="1"/>
  <c r="I58" i="1" s="1"/>
  <c r="I838" i="1"/>
  <c r="I623" i="1"/>
  <c r="H714" i="1"/>
  <c r="H517" i="1"/>
  <c r="I517" i="1" s="1"/>
  <c r="I369" i="1"/>
  <c r="I372" i="1" s="1"/>
  <c r="M95" i="1"/>
  <c r="I879" i="1"/>
  <c r="M879" i="1"/>
  <c r="I856" i="1"/>
  <c r="M1178" i="1"/>
  <c r="I984" i="1"/>
  <c r="I941" i="1"/>
  <c r="I996" i="1"/>
  <c r="H909" i="1"/>
  <c r="I901" i="1"/>
  <c r="I836" i="1"/>
  <c r="I824" i="1"/>
  <c r="I768" i="1"/>
  <c r="I776" i="1" s="1"/>
  <c r="H776" i="1"/>
  <c r="I875" i="1"/>
  <c r="I853" i="1"/>
  <c r="I747" i="1"/>
  <c r="I788" i="1"/>
  <c r="H557" i="1"/>
  <c r="I557" i="1" s="1"/>
  <c r="I555" i="1"/>
  <c r="I913" i="1"/>
  <c r="H842" i="1"/>
  <c r="I842" i="1" s="1"/>
  <c r="H820" i="1"/>
  <c r="I717" i="1"/>
  <c r="I714" i="1"/>
  <c r="H660" i="1"/>
  <c r="I639" i="1"/>
  <c r="I562" i="1"/>
  <c r="H467" i="1"/>
  <c r="I786" i="1"/>
  <c r="H767" i="1"/>
  <c r="I736" i="1"/>
  <c r="M687" i="1"/>
  <c r="I628" i="1"/>
  <c r="I421" i="1"/>
  <c r="I803" i="1"/>
  <c r="I566" i="1"/>
  <c r="I490" i="1"/>
  <c r="H456" i="1"/>
  <c r="I456" i="1" s="1"/>
  <c r="I617" i="1"/>
  <c r="I423" i="1"/>
  <c r="I508" i="1"/>
  <c r="I368" i="1"/>
  <c r="H368" i="1"/>
  <c r="I358" i="1"/>
  <c r="H358" i="1"/>
  <c r="I339" i="1"/>
  <c r="I349" i="1" s="1"/>
  <c r="I131" i="1"/>
  <c r="I160" i="1" s="1"/>
  <c r="I378" i="1"/>
  <c r="H378" i="1"/>
  <c r="I304" i="1"/>
  <c r="I292" i="1"/>
  <c r="I294" i="1" s="1"/>
  <c r="I252" i="1"/>
  <c r="I59" i="1"/>
  <c r="I62" i="1" s="1"/>
  <c r="I262" i="1"/>
  <c r="I288" i="1" s="1"/>
  <c r="I229" i="1"/>
  <c r="I242" i="1" s="1"/>
  <c r="I172" i="1"/>
  <c r="I176" i="1" s="1"/>
  <c r="H77" i="1"/>
  <c r="I26" i="1"/>
  <c r="H26" i="1"/>
  <c r="I461" i="1"/>
  <c r="I467" i="1" s="1"/>
  <c r="M242" i="1"/>
  <c r="M26" i="1"/>
  <c r="H95" i="1"/>
  <c r="L1176" i="1"/>
  <c r="M1175" i="1"/>
  <c r="H1054" i="1"/>
  <c r="H1176" i="1" s="1"/>
  <c r="I909" i="1"/>
  <c r="I365" i="1"/>
  <c r="H365" i="1"/>
  <c r="L997" i="1"/>
  <c r="I931" i="1"/>
  <c r="I880" i="1"/>
  <c r="I814" i="1"/>
  <c r="I903" i="1"/>
  <c r="M971" i="1"/>
  <c r="I895" i="1"/>
  <c r="I896" i="1" s="1"/>
  <c r="I876" i="1"/>
  <c r="I859" i="1"/>
  <c r="G1176" i="1"/>
  <c r="I944" i="1"/>
  <c r="I883" i="1"/>
  <c r="I907" i="1"/>
  <c r="H862" i="1"/>
  <c r="I820" i="1"/>
  <c r="I816" i="1"/>
  <c r="H695" i="1"/>
  <c r="I695" i="1" s="1"/>
  <c r="I690" i="1"/>
  <c r="H831" i="1"/>
  <c r="I831" i="1" s="1"/>
  <c r="I807" i="1"/>
  <c r="I727" i="1"/>
  <c r="I825" i="1"/>
  <c r="I698" i="1"/>
  <c r="H687" i="1"/>
  <c r="I596" i="1"/>
  <c r="H511" i="1"/>
  <c r="I511" i="1" s="1"/>
  <c r="I509" i="1"/>
  <c r="I916" i="1"/>
  <c r="I777" i="1"/>
  <c r="I649" i="1"/>
  <c r="I660" i="1" s="1"/>
  <c r="I622" i="1"/>
  <c r="I564" i="1"/>
  <c r="I483" i="1"/>
  <c r="I884" i="1"/>
  <c r="I761" i="1"/>
  <c r="I739" i="1"/>
  <c r="H599" i="1"/>
  <c r="I599" i="1" s="1"/>
  <c r="I502" i="1"/>
  <c r="M617" i="1"/>
  <c r="H530" i="1"/>
  <c r="I530" i="1" s="1"/>
  <c r="I515" i="1"/>
  <c r="H450" i="1"/>
  <c r="I570" i="1"/>
  <c r="I408" i="1"/>
  <c r="I217" i="1"/>
  <c r="H453" i="1"/>
  <c r="I453" i="1" s="1"/>
  <c r="I211" i="1"/>
  <c r="I201" i="1"/>
  <c r="H188" i="1"/>
  <c r="H12" i="1"/>
  <c r="I445" i="1"/>
  <c r="G450" i="1"/>
  <c r="I450" i="1" s="1"/>
  <c r="H352" i="1"/>
  <c r="I352" i="1" s="1"/>
  <c r="I129" i="1"/>
  <c r="I130" i="1" s="1"/>
  <c r="H126" i="1"/>
  <c r="I126" i="1" s="1"/>
  <c r="L1178" i="1" l="1"/>
  <c r="M1176" i="1"/>
  <c r="G997" i="1"/>
  <c r="M997" i="1" s="1"/>
  <c r="K596" i="1"/>
  <c r="K997" i="1" s="1"/>
  <c r="K1178" i="1" s="1"/>
  <c r="H1178" i="1"/>
  <c r="I1054" i="1"/>
  <c r="I1176" i="1" s="1"/>
  <c r="I997" i="1"/>
  <c r="I971" i="1"/>
  <c r="J596" i="1"/>
  <c r="J997" i="1" s="1"/>
  <c r="J1178" i="1" s="1"/>
  <c r="I1178" i="1" l="1"/>
  <c r="G117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우성02</author>
  </authors>
  <commentList>
    <comment ref="D328" authorId="0" shapeId="0" xr:uid="{AD7FD993-CD7C-43EE-842E-4A36E02F1436}">
      <text>
        <r>
          <rPr>
            <b/>
            <sz val="9"/>
            <color indexed="81"/>
            <rFont val="돋움"/>
            <family val="3"/>
            <charset val="129"/>
          </rPr>
          <t>우성</t>
        </r>
        <r>
          <rPr>
            <b/>
            <sz val="9"/>
            <color indexed="81"/>
            <rFont val="Tahoma"/>
            <family val="2"/>
          </rPr>
          <t>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길이</t>
        </r>
        <r>
          <rPr>
            <sz val="9"/>
            <color indexed="81"/>
            <rFont val="Tahoma"/>
            <family val="2"/>
          </rPr>
          <t xml:space="preserve"> 75</t>
        </r>
        <r>
          <rPr>
            <sz val="9"/>
            <color indexed="81"/>
            <rFont val="돋움"/>
            <family val="3"/>
            <charset val="129"/>
          </rPr>
          <t>변경시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 620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</text>
    </comment>
  </commentList>
</comments>
</file>

<file path=xl/sharedStrings.xml><?xml version="1.0" encoding="utf-8"?>
<sst xmlns="http://schemas.openxmlformats.org/spreadsheetml/2006/main" count="2189" uniqueCount="1065">
  <si>
    <t>1월매출실적</t>
    <phoneticPr fontId="7" type="noConversion"/>
  </si>
  <si>
    <t>업체명</t>
    <phoneticPr fontId="7" type="noConversion"/>
  </si>
  <si>
    <t>분류</t>
    <phoneticPr fontId="5" type="noConversion"/>
  </si>
  <si>
    <t>품목</t>
    <phoneticPr fontId="7" type="noConversion"/>
  </si>
  <si>
    <t>단가</t>
    <phoneticPr fontId="7" type="noConversion"/>
  </si>
  <si>
    <t>매출량</t>
    <phoneticPr fontId="7" type="noConversion"/>
  </si>
  <si>
    <t>매출액</t>
    <phoneticPr fontId="7" type="noConversion"/>
  </si>
  <si>
    <t>부가세</t>
    <phoneticPr fontId="7" type="noConversion"/>
  </si>
  <si>
    <t>매출원장</t>
    <phoneticPr fontId="7" type="noConversion"/>
  </si>
  <si>
    <t>원가</t>
    <phoneticPr fontId="7" type="noConversion"/>
  </si>
  <si>
    <t>이윤</t>
    <phoneticPr fontId="7" type="noConversion"/>
  </si>
  <si>
    <t>실제이윤</t>
    <phoneticPr fontId="7" type="noConversion"/>
  </si>
  <si>
    <t>비고</t>
    <phoneticPr fontId="7" type="noConversion"/>
  </si>
  <si>
    <t>이노폴리</t>
    <phoneticPr fontId="7" type="noConversion"/>
  </si>
  <si>
    <t>D</t>
    <phoneticPr fontId="5" type="noConversion"/>
  </si>
  <si>
    <t>이노폴리1000kg</t>
    <phoneticPr fontId="7" type="noConversion"/>
  </si>
  <si>
    <t>(=800KG 무인쇄 베이지)</t>
    <phoneticPr fontId="5" type="noConversion"/>
  </si>
  <si>
    <t>C</t>
    <phoneticPr fontId="5" type="noConversion"/>
  </si>
  <si>
    <t>500KG 무인쇄 베이지 라이너</t>
    <phoneticPr fontId="5" type="noConversion"/>
  </si>
  <si>
    <t>대한유화 500KG 무인쇄 화이트</t>
    <phoneticPr fontId="5" type="noConversion"/>
  </si>
  <si>
    <t>B</t>
    <phoneticPr fontId="5" type="noConversion"/>
  </si>
  <si>
    <t>15KG 알루미늄 필름</t>
    <phoneticPr fontId="5" type="noConversion"/>
  </si>
  <si>
    <t>25KG 알루미늄 필름</t>
    <phoneticPr fontId="5" type="noConversion"/>
  </si>
  <si>
    <t>A</t>
    <phoneticPr fontId="5" type="noConversion"/>
  </si>
  <si>
    <t>이노폴리 무인쇄(AK) 55*85 (LD 0.13 54.5*84(B/S)) 삽입</t>
    <phoneticPr fontId="9" type="noConversion"/>
  </si>
  <si>
    <t>이노폴리6(AK) 55*85 필름 0.13 삽입</t>
    <phoneticPr fontId="7" type="noConversion"/>
  </si>
  <si>
    <t>이노폴리66(AK) 55*85 필름 0.13 삽입</t>
    <phoneticPr fontId="7" type="noConversion"/>
  </si>
  <si>
    <t>소계</t>
    <phoneticPr fontId="7" type="noConversion"/>
  </si>
  <si>
    <t>데스코</t>
    <phoneticPr fontId="5" type="noConversion"/>
  </si>
  <si>
    <t>데스코66</t>
    <phoneticPr fontId="7" type="noConversion"/>
  </si>
  <si>
    <t>데스코6</t>
    <phoneticPr fontId="7" type="noConversion"/>
  </si>
  <si>
    <r>
      <t>데스코P</t>
    </r>
    <r>
      <rPr>
        <sz val="11"/>
        <color theme="1"/>
        <rFont val="맑은 고딕"/>
        <family val="3"/>
        <scheme val="minor"/>
      </rPr>
      <t>BT</t>
    </r>
    <phoneticPr fontId="7" type="noConversion"/>
  </si>
  <si>
    <r>
      <t xml:space="preserve">데스코 </t>
    </r>
    <r>
      <rPr>
        <sz val="11"/>
        <color theme="1"/>
        <rFont val="맑은 고딕"/>
        <family val="3"/>
        <scheme val="minor"/>
      </rPr>
      <t>DESLEN</t>
    </r>
    <phoneticPr fontId="7" type="noConversion"/>
  </si>
  <si>
    <t>알루미늄필름(25kg용)</t>
    <phoneticPr fontId="7" type="noConversion"/>
  </si>
  <si>
    <t>E</t>
    <phoneticPr fontId="5" type="noConversion"/>
  </si>
  <si>
    <t>750kg 인쇄알루미늄</t>
    <phoneticPr fontId="7" type="noConversion"/>
  </si>
  <si>
    <t>750kg 무인쇄알루미늄</t>
    <phoneticPr fontId="7" type="noConversion"/>
  </si>
  <si>
    <t>1000kg 알루미늄</t>
    <phoneticPr fontId="7" type="noConversion"/>
  </si>
  <si>
    <r>
      <t>750kg 무인쇄</t>
    </r>
    <r>
      <rPr>
        <sz val="11"/>
        <color theme="1"/>
        <rFont val="맑은 고딕"/>
        <family val="3"/>
        <scheme val="minor"/>
      </rPr>
      <t>(필름x)</t>
    </r>
    <phoneticPr fontId="7" type="noConversion"/>
  </si>
  <si>
    <t>850kg감보백(유진통상)</t>
    <phoneticPr fontId="7" type="noConversion"/>
  </si>
  <si>
    <t>1000kg더블밸트</t>
    <phoneticPr fontId="7" type="noConversion"/>
  </si>
  <si>
    <t>1000kg바플벨트</t>
    <phoneticPr fontId="7" type="noConversion"/>
  </si>
  <si>
    <t>1000kg바플로프</t>
    <phoneticPr fontId="7" type="noConversion"/>
  </si>
  <si>
    <t>애트</t>
    <phoneticPr fontId="7" type="noConversion"/>
  </si>
  <si>
    <t>sk감보백</t>
    <phoneticPr fontId="7" type="noConversion"/>
  </si>
  <si>
    <t>G</t>
    <phoneticPr fontId="5" type="noConversion"/>
  </si>
  <si>
    <t>LD 0.05 190*280</t>
    <phoneticPr fontId="5" type="noConversion"/>
  </si>
  <si>
    <t>화인케미칼</t>
    <phoneticPr fontId="5" type="noConversion"/>
  </si>
  <si>
    <t>SK 500KG 옥타곤 세트</t>
    <phoneticPr fontId="5" type="noConversion"/>
  </si>
  <si>
    <t>옥타곤12,200원 캡2,150원X2</t>
    <phoneticPr fontId="5" type="noConversion"/>
  </si>
  <si>
    <t>SK 500KG 옥타곤몸체</t>
    <phoneticPr fontId="5" type="noConversion"/>
  </si>
  <si>
    <t>우성케미칼
(거래내역마감서 보낸 후 세금계산서 발행)</t>
    <phoneticPr fontId="7" type="noConversion"/>
  </si>
  <si>
    <t>SK 750KG 감보백</t>
    <phoneticPr fontId="7" type="noConversion"/>
  </si>
  <si>
    <t>옥타곤</t>
    <phoneticPr fontId="7" type="noConversion"/>
  </si>
  <si>
    <t>25KG 알루미늄 AK 무인쇄_51*85</t>
    <phoneticPr fontId="7" type="noConversion"/>
  </si>
  <si>
    <t>LD 0.05 280*300</t>
    <phoneticPr fontId="5" type="noConversion"/>
  </si>
  <si>
    <t>500KG 대한유화 한국(유진통상)</t>
    <phoneticPr fontId="5" type="noConversion"/>
  </si>
  <si>
    <t>500KG 대한유화 중국(유진통상)</t>
    <phoneticPr fontId="5" type="noConversion"/>
  </si>
  <si>
    <t>1톤용 대한유화 중국(유진통상)</t>
    <phoneticPr fontId="5" type="noConversion"/>
  </si>
  <si>
    <t>250KG(300KG) 무인쇄(유진통상) 90*90*80</t>
    <phoneticPr fontId="5" type="noConversion"/>
  </si>
  <si>
    <t xml:space="preserve">1공장(200장) </t>
    <phoneticPr fontId="5" type="noConversion"/>
  </si>
  <si>
    <t>600KG 무인쇄 그린</t>
    <phoneticPr fontId="5" type="noConversion"/>
  </si>
  <si>
    <t>500KG 무인쇄 베이지_라이너X(유진통상)</t>
    <phoneticPr fontId="5" type="noConversion"/>
  </si>
  <si>
    <t>500KG 무인쇄 베이지(유진통상)</t>
    <phoneticPr fontId="5" type="noConversion"/>
  </si>
  <si>
    <t>1공장(200장) 3공장(300장)</t>
    <phoneticPr fontId="5" type="noConversion"/>
  </si>
  <si>
    <t>500KG 무인쇄 화이트(유진통상)</t>
    <phoneticPr fontId="5" type="noConversion"/>
  </si>
  <si>
    <t>500KG 무인쇄 화이트블루(유진통상)</t>
    <phoneticPr fontId="5" type="noConversion"/>
  </si>
  <si>
    <t>2공장(200장)</t>
    <phoneticPr fontId="5" type="noConversion"/>
  </si>
  <si>
    <t>500KG 무인쇄 화이트그린 로프6M(유진통상)</t>
    <phoneticPr fontId="5" type="noConversion"/>
  </si>
  <si>
    <t>500KG 우성케미칼 베이지</t>
    <phoneticPr fontId="5" type="noConversion"/>
  </si>
  <si>
    <t>500KG 알루미늄 톤백</t>
    <phoneticPr fontId="5" type="noConversion"/>
  </si>
  <si>
    <t>500KG 알루미늄(2380)필름</t>
    <phoneticPr fontId="5" type="noConversion"/>
  </si>
  <si>
    <t>1000KG(800KG)무인쇄 베이지_라이너X</t>
    <phoneticPr fontId="5" type="noConversion"/>
  </si>
  <si>
    <t>1000KG(800KG) 우성케미칼 베이지_라이너 (인쇄)</t>
    <phoneticPr fontId="5" type="noConversion"/>
  </si>
  <si>
    <t>1000KG(800KG) 무인쇄 베이지_라이너_벨트2R(유진통상)</t>
    <phoneticPr fontId="5" type="noConversion"/>
  </si>
  <si>
    <t>현대특수사료(옐로우)</t>
    <phoneticPr fontId="5" type="noConversion"/>
  </si>
  <si>
    <t>850KG 우성케미칼 감보백(인쇄) -유진매입</t>
    <phoneticPr fontId="5" type="noConversion"/>
  </si>
  <si>
    <r>
      <t>무인쇄 감보백 (S-BAG)-신림산업매입</t>
    </r>
    <r>
      <rPr>
        <b/>
        <sz val="11"/>
        <color theme="1"/>
        <rFont val="맑은 고딕"/>
        <family val="3"/>
        <charset val="129"/>
        <scheme val="minor"/>
      </rPr>
      <t>(최소수량 400장~)</t>
    </r>
    <phoneticPr fontId="5" type="noConversion"/>
  </si>
  <si>
    <t>(상.하 배출구 비닐 부착된 제품)</t>
    <phoneticPr fontId="5" type="noConversion"/>
  </si>
  <si>
    <t>무인쇄 감보백-유진매입</t>
    <phoneticPr fontId="5" type="noConversion"/>
  </si>
  <si>
    <t>주름지 50mm</t>
    <phoneticPr fontId="5" type="noConversion"/>
  </si>
  <si>
    <t>알루미늄 필름 505*830</t>
    <phoneticPr fontId="5" type="noConversion"/>
  </si>
  <si>
    <t>㈜골드랜드</t>
    <phoneticPr fontId="7" type="noConversion"/>
  </si>
  <si>
    <t>창맥</t>
    <phoneticPr fontId="7" type="noConversion"/>
  </si>
  <si>
    <t>800kg톤백</t>
    <phoneticPr fontId="7" type="noConversion"/>
  </si>
  <si>
    <t>500kg톤백</t>
    <phoneticPr fontId="7" type="noConversion"/>
  </si>
  <si>
    <t xml:space="preserve">엔지니어링 플라스틱 500KG 베이지-유진매입 </t>
    <phoneticPr fontId="5" type="noConversion"/>
  </si>
  <si>
    <t>추후 출고X (그린으로 출고)</t>
    <phoneticPr fontId="5" type="noConversion"/>
  </si>
  <si>
    <t xml:space="preserve">엔지니어링 플라스틱 500KG 그린-유진매입 </t>
    <phoneticPr fontId="5" type="noConversion"/>
  </si>
  <si>
    <t>일반무지(AK) 55*85 (LD0.12 54.5*90)</t>
    <phoneticPr fontId="9" type="noConversion"/>
  </si>
  <si>
    <t>MAXIMUM 55*85 (LD 0.12 54.5*90) (AK)</t>
    <phoneticPr fontId="9" type="noConversion"/>
  </si>
  <si>
    <t>AK지로 변경 확인하기</t>
    <phoneticPr fontId="5" type="noConversion"/>
  </si>
  <si>
    <t>LD 0.12 54.5*90(동해필름)</t>
    <phoneticPr fontId="5" type="noConversion"/>
  </si>
  <si>
    <t>화인산업매입</t>
    <phoneticPr fontId="5" type="noConversion"/>
  </si>
  <si>
    <t>주름지 54mm</t>
    <phoneticPr fontId="5" type="noConversion"/>
  </si>
  <si>
    <t>일반무지(AK) 55*85</t>
    <phoneticPr fontId="5" type="noConversion"/>
  </si>
  <si>
    <t>일반무지(EK) 55*85</t>
    <phoneticPr fontId="5" type="noConversion"/>
  </si>
  <si>
    <t>일반무지(AK) (45+10)85</t>
    <phoneticPr fontId="5" type="noConversion"/>
  </si>
  <si>
    <t>면사(백색)-플러스팩매입</t>
    <phoneticPr fontId="5" type="noConversion"/>
  </si>
  <si>
    <t>H</t>
    <phoneticPr fontId="5" type="noConversion"/>
  </si>
  <si>
    <t>택배비</t>
    <phoneticPr fontId="5" type="noConversion"/>
  </si>
  <si>
    <t>디에스엔프라</t>
    <phoneticPr fontId="7" type="noConversion"/>
  </si>
  <si>
    <t>500kg톤백(인쇄)</t>
    <phoneticPr fontId="7" type="noConversion"/>
  </si>
  <si>
    <t>일반무지(55*85)</t>
    <phoneticPr fontId="9" type="noConversion"/>
  </si>
  <si>
    <t>명품마대산업</t>
    <phoneticPr fontId="5" type="noConversion"/>
  </si>
  <si>
    <t>B급톤백</t>
    <phoneticPr fontId="7" type="noConversion"/>
  </si>
  <si>
    <t>A급톤백</t>
    <phoneticPr fontId="9" type="noConversion"/>
  </si>
  <si>
    <t>b급 l/m bag</t>
    <phoneticPr fontId="7" type="noConversion"/>
  </si>
  <si>
    <t>S/W ROLL(1000*500)</t>
    <phoneticPr fontId="7" type="noConversion"/>
  </si>
  <si>
    <t>동선씨에스</t>
    <phoneticPr fontId="7" type="noConversion"/>
  </si>
  <si>
    <t>동선씨에스25kg</t>
    <phoneticPr fontId="7" type="noConversion"/>
  </si>
  <si>
    <t>무인쇄</t>
    <phoneticPr fontId="7" type="noConversion"/>
  </si>
  <si>
    <t>고무판</t>
    <phoneticPr fontId="7" type="noConversion"/>
  </si>
  <si>
    <t>부성폴리콤</t>
    <phoneticPr fontId="5" type="noConversion"/>
  </si>
  <si>
    <t>500kg-유진통상매입</t>
    <phoneticPr fontId="7" type="noConversion"/>
  </si>
  <si>
    <t>600kg-유진통상매입</t>
    <phoneticPr fontId="7" type="noConversion"/>
  </si>
  <si>
    <t>600kg(HUPLAS)-유진매입</t>
    <phoneticPr fontId="7" type="noConversion"/>
  </si>
  <si>
    <t>600kg(ABS)-유진통상매입</t>
    <phoneticPr fontId="7" type="noConversion"/>
  </si>
  <si>
    <t>두성켐텍
(세금계산서 발행시 예산/음성 공장 별도 표기 발행)</t>
    <phoneticPr fontId="5" type="noConversion"/>
  </si>
  <si>
    <t>금호폴리켐020p_네오플러스매입</t>
    <phoneticPr fontId="7" type="noConversion"/>
  </si>
  <si>
    <t xml:space="preserve"> 플라스틱파레트사용! (목재파레트사용X)</t>
    <phoneticPr fontId="5" type="noConversion"/>
  </si>
  <si>
    <t>금호폴리켐070p_네오플러스매입</t>
    <phoneticPr fontId="7" type="noConversion"/>
  </si>
  <si>
    <t>금호폴리켐570p_네오플러스매입</t>
    <phoneticPr fontId="7" type="noConversion"/>
  </si>
  <si>
    <t>금호폴리켐 902NP네오플러스매입</t>
    <phoneticPr fontId="5" type="noConversion"/>
  </si>
  <si>
    <t>금호폴리켐 4640EP네오플러스매입</t>
    <phoneticPr fontId="5" type="noConversion"/>
  </si>
  <si>
    <t>TSC 500kg_유진통상매입</t>
    <phoneticPr fontId="5" type="noConversion"/>
  </si>
  <si>
    <t>무인쇄(EK) 55*75_AL(54.5*75)삽입</t>
    <phoneticPr fontId="7" type="noConversion"/>
  </si>
  <si>
    <t>무인쇄(EK) 55*78_AL(54.5*76.2)양면테이프</t>
    <phoneticPr fontId="7" type="noConversion"/>
  </si>
  <si>
    <t>XLPE(EK) (45+10)90_AL(44.5+10)87양면테이프</t>
    <phoneticPr fontId="7" type="noConversion"/>
  </si>
  <si>
    <t>TSC알루미늄(MSDS) 51*85(예산공장) (노랑색)</t>
    <phoneticPr fontId="7" type="noConversion"/>
  </si>
  <si>
    <t>TSC알루미늄(MSDS) 51*85(예산공장) (회색)</t>
    <phoneticPr fontId="7" type="noConversion"/>
  </si>
  <si>
    <t>TSC알루미늄(MSDS) 51*85(예산공장) (적색)</t>
    <phoneticPr fontId="7" type="noConversion"/>
  </si>
  <si>
    <t>TSC알루미늄(MSDS) 51*85(음성공장)</t>
    <phoneticPr fontId="7" type="noConversion"/>
  </si>
  <si>
    <t>TSC알루미늄(XLPE) 56*90(예산공장)</t>
    <phoneticPr fontId="5" type="noConversion"/>
  </si>
  <si>
    <t>TSC알루미늄(MSDS) 51*85(음성공장) (회색)</t>
    <phoneticPr fontId="7" type="noConversion"/>
  </si>
  <si>
    <t>TSC알루미늄(MSDS) 51*85(음성공장) (적색)</t>
    <phoneticPr fontId="7" type="noConversion"/>
  </si>
  <si>
    <t>TSC알루미늄(XLPE) 56*90(음성공장)</t>
    <phoneticPr fontId="5" type="noConversion"/>
  </si>
  <si>
    <t>TSC알루미늄(XLPE)무인쇄 56*90(음성공장)</t>
    <phoneticPr fontId="5" type="noConversion"/>
  </si>
  <si>
    <t>TSC알루미늄(XLPE)무인쇄 56*90(예산공장)</t>
    <phoneticPr fontId="5" type="noConversion"/>
  </si>
  <si>
    <t>신일엔지니어링플라스틱(AK) (45+10)82(외주공장)</t>
  </si>
  <si>
    <t>신일엔지니어링플라스틱(AK) (45+10)82(본공장)</t>
    <phoneticPr fontId="5" type="noConversion"/>
  </si>
  <si>
    <t>LOSS 50장</t>
    <phoneticPr fontId="5" type="noConversion"/>
  </si>
  <si>
    <t>신일엔지니어링플라스틱(필름)(AK) 55*82_LD 0.18 54.5*79.5삽입</t>
    <phoneticPr fontId="5" type="noConversion"/>
  </si>
  <si>
    <t>일반무지(필름)_LD 0.18 54.5*79.5</t>
    <phoneticPr fontId="5" type="noConversion"/>
  </si>
  <si>
    <t>LD 0.18 54.5*79.5</t>
    <phoneticPr fontId="5" type="noConversion"/>
  </si>
  <si>
    <t>무인쇄 알루미늄 51*85</t>
    <phoneticPr fontId="5" type="noConversion"/>
  </si>
  <si>
    <t>일반무지(EK) (45+10)85_신진팩매입</t>
    <phoneticPr fontId="5" type="noConversion"/>
  </si>
  <si>
    <t>육일산업</t>
    <phoneticPr fontId="5" type="noConversion"/>
  </si>
  <si>
    <t>일반무지(AK) (45+10)85_원림매입</t>
  </si>
  <si>
    <t>No-Grade (45+10)85_세일피엔지매입</t>
  </si>
  <si>
    <t>주름지 70mm</t>
    <phoneticPr fontId="5" type="noConversion"/>
  </si>
  <si>
    <t>운반비</t>
    <phoneticPr fontId="5" type="noConversion"/>
  </si>
  <si>
    <t>XLPE가세트 불량(2,799장) 반품 착불비용</t>
    <phoneticPr fontId="5" type="noConversion"/>
  </si>
  <si>
    <t>크레진</t>
    <phoneticPr fontId="7" type="noConversion"/>
  </si>
  <si>
    <t>B급 S/W BAG</t>
    <phoneticPr fontId="7" type="noConversion"/>
  </si>
  <si>
    <t>명품마대매입</t>
    <phoneticPr fontId="5" type="noConversion"/>
  </si>
  <si>
    <t>소계</t>
    <phoneticPr fontId="5" type="noConversion"/>
  </si>
  <si>
    <t>한농화성</t>
    <phoneticPr fontId="7" type="noConversion"/>
  </si>
  <si>
    <t>500kg톤백(무인쇄)-대산공장</t>
    <phoneticPr fontId="7" type="noConversion"/>
  </si>
  <si>
    <t>성은마대</t>
    <phoneticPr fontId="7" type="noConversion"/>
  </si>
  <si>
    <t xml:space="preserve">HEH-마데(EK) (45+10)85 </t>
    <phoneticPr fontId="5" type="noConversion"/>
  </si>
  <si>
    <t>화이트 -&gt; EK로 변경</t>
    <phoneticPr fontId="5" type="noConversion"/>
  </si>
  <si>
    <t>Silver Bay(EK)(45+10)110</t>
    <phoneticPr fontId="5" type="noConversion"/>
  </si>
  <si>
    <t>다나_FERMENTEN(EK)(45+10)80</t>
  </si>
  <si>
    <t>수지판(FERMENTEN 신규제품)</t>
    <phoneticPr fontId="5" type="noConversion"/>
  </si>
  <si>
    <t>알루미나(EK)(45+10)85</t>
    <phoneticPr fontId="5" type="noConversion"/>
  </si>
  <si>
    <t>수지판(알루미나 신규제품)</t>
    <phoneticPr fontId="5" type="noConversion"/>
  </si>
  <si>
    <t>코아텍_PFCs 촉매(EK) (45+10)85</t>
    <phoneticPr fontId="5" type="noConversion"/>
  </si>
  <si>
    <t>수지판(코아텍 신규제품)</t>
    <phoneticPr fontId="5" type="noConversion"/>
  </si>
  <si>
    <t>일반무지</t>
    <phoneticPr fontId="7" type="noConversion"/>
  </si>
  <si>
    <t>미소뜰백</t>
    <phoneticPr fontId="7" type="noConversion"/>
  </si>
  <si>
    <t>l/m bag(b급)</t>
    <phoneticPr fontId="7" type="noConversion"/>
  </si>
  <si>
    <t>활성탄(EK) (45+10)97</t>
    <phoneticPr fontId="5" type="noConversion"/>
  </si>
  <si>
    <t>일반무지(EK) (45+10)85 - 800D</t>
    <phoneticPr fontId="5" type="noConversion"/>
  </si>
  <si>
    <t>일반무지(AK) (45+10)85 - 신진팩매입</t>
    <phoneticPr fontId="5" type="noConversion"/>
  </si>
  <si>
    <t>일반무지(EK) (45+10)85 - 신진팩매입</t>
    <phoneticPr fontId="5" type="noConversion"/>
  </si>
  <si>
    <t>원림이벤트백 납품</t>
    <phoneticPr fontId="5" type="noConversion"/>
  </si>
  <si>
    <t>일반무지(EK) (42+7.5)*66 - 신진팩매입</t>
    <phoneticPr fontId="5" type="noConversion"/>
  </si>
  <si>
    <t xml:space="preserve">일반무지(EK)(50+10)90 </t>
    <phoneticPr fontId="5" type="noConversion"/>
  </si>
  <si>
    <t>일반무지(EK) (45+10)95</t>
    <phoneticPr fontId="5" type="noConversion"/>
  </si>
  <si>
    <t>스코리에어 325 (35+5)85 원림매입</t>
    <phoneticPr fontId="5" type="noConversion"/>
  </si>
  <si>
    <t>근일산업 M/B(AK) (45+10)85</t>
    <phoneticPr fontId="5" type="noConversion"/>
  </si>
  <si>
    <t>고래종합상사 GELATINE (42+8)80 S/W</t>
    <phoneticPr fontId="5" type="noConversion"/>
  </si>
  <si>
    <t>화이트 무인쇄 (42+7.5)66</t>
    <phoneticPr fontId="5" type="noConversion"/>
  </si>
  <si>
    <t>화이트 무인쇄 (45+10)85</t>
    <phoneticPr fontId="5" type="noConversion"/>
  </si>
  <si>
    <t>아이그라스 천연소재포장재</t>
    <phoneticPr fontId="5" type="noConversion"/>
  </si>
  <si>
    <t>가나샌딩</t>
    <phoneticPr fontId="5" type="noConversion"/>
  </si>
  <si>
    <t>G-Nature</t>
    <phoneticPr fontId="5" type="noConversion"/>
  </si>
  <si>
    <t>수지판</t>
    <phoneticPr fontId="5" type="noConversion"/>
  </si>
  <si>
    <t>희망플라스틱</t>
    <phoneticPr fontId="7" type="noConversion"/>
  </si>
  <si>
    <t>일반무지(EK) (45+10)85</t>
    <phoneticPr fontId="7" type="noConversion"/>
  </si>
  <si>
    <t>무인쇄 필름(LD 0.07 54.5*84)</t>
    <phoneticPr fontId="7" type="noConversion"/>
  </si>
  <si>
    <t>필름삽입함</t>
    <phoneticPr fontId="5" type="noConversion"/>
  </si>
  <si>
    <t>pp사</t>
    <phoneticPr fontId="9" type="noConversion"/>
  </si>
  <si>
    <t>면사</t>
    <phoneticPr fontId="5" type="noConversion"/>
  </si>
  <si>
    <t>주름지54mm</t>
    <phoneticPr fontId="7" type="noConversion"/>
  </si>
  <si>
    <t>주름지55mm</t>
    <phoneticPr fontId="7" type="noConversion"/>
  </si>
  <si>
    <t>금성안료사업사</t>
    <phoneticPr fontId="5" type="noConversion"/>
  </si>
  <si>
    <t>마스터배치(EK) (45+10)84</t>
    <phoneticPr fontId="9" type="noConversion"/>
  </si>
  <si>
    <t>주)파인웰</t>
    <phoneticPr fontId="7" type="noConversion"/>
  </si>
  <si>
    <t>파인웰 500KG</t>
    <phoneticPr fontId="7" type="noConversion"/>
  </si>
  <si>
    <t>800KG 무인쇄</t>
    <phoneticPr fontId="9" type="noConversion"/>
  </si>
  <si>
    <t>파인웰 ABS (46+10)80 (9/9 출고분)</t>
    <phoneticPr fontId="5" type="noConversion"/>
  </si>
  <si>
    <t>파인웰 PP (45+10)87  (9/9출고분)LD 0.05 (55*110)</t>
    <phoneticPr fontId="9" type="noConversion"/>
  </si>
  <si>
    <t>파인웰 ABS (46+10)80 (9/9 출고이후)</t>
    <phoneticPr fontId="5" type="noConversion"/>
  </si>
  <si>
    <t>파인웰 PP (45+10)87  (9/9출고이후)LD 0.04(55*110)</t>
    <phoneticPr fontId="9" type="noConversion"/>
  </si>
  <si>
    <t>삼보황토산업</t>
    <phoneticPr fontId="7" type="noConversion"/>
  </si>
  <si>
    <t>조적용 45*73(76)</t>
    <phoneticPr fontId="5" type="noConversion"/>
  </si>
  <si>
    <t>미장용</t>
    <phoneticPr fontId="5" type="noConversion"/>
  </si>
  <si>
    <t>삼보황토1000KG</t>
    <phoneticPr fontId="7" type="noConversion"/>
  </si>
  <si>
    <t>삼보크렉보수용</t>
    <phoneticPr fontId="9" type="noConversion"/>
  </si>
  <si>
    <t>삼보황토믹싱탈_조적용_화이트 45*73(76)</t>
    <phoneticPr fontId="9" type="noConversion"/>
  </si>
  <si>
    <t>삼보황토믹싱탈_줄눈용_옐로우 45*73(76)</t>
    <phoneticPr fontId="9" type="noConversion"/>
  </si>
  <si>
    <t>삼보황토믹싱탈_미장용_아이보리 45*73(76)</t>
    <phoneticPr fontId="9" type="noConversion"/>
  </si>
  <si>
    <t>삼보황토믹싱탈_바닥용</t>
    <phoneticPr fontId="9" type="noConversion"/>
  </si>
  <si>
    <r>
      <t>랩(고기능성</t>
    </r>
    <r>
      <rPr>
        <sz val="11"/>
        <color theme="1"/>
        <rFont val="맑은 고딕"/>
        <family val="3"/>
        <scheme val="minor"/>
      </rPr>
      <t>)</t>
    </r>
    <phoneticPr fontId="9" type="noConversion"/>
  </si>
  <si>
    <t>LD.신재.M.S 0.04 240*170</t>
    <phoneticPr fontId="5" type="noConversion"/>
  </si>
  <si>
    <t>LD 0.05 260*180(화인)</t>
    <phoneticPr fontId="9" type="noConversion"/>
  </si>
  <si>
    <t>삼화기업
- 거래명세서 택배에 안넣어도 됌 따로 팩스보내기</t>
    <phoneticPr fontId="9" type="noConversion"/>
  </si>
  <si>
    <t>500kg베이지무인쇄(필름x)</t>
    <phoneticPr fontId="7" type="noConversion"/>
  </si>
  <si>
    <t>500kg베이지무인쇄(필름)</t>
    <phoneticPr fontId="7" type="noConversion"/>
  </si>
  <si>
    <t>500kg그린무인쇄(필름x)</t>
    <phoneticPr fontId="7" type="noConversion"/>
  </si>
  <si>
    <t>500kg그린무인쇄(필름)</t>
    <phoneticPr fontId="7" type="noConversion"/>
  </si>
  <si>
    <t>500kg블루무인쇄(필름)</t>
    <phoneticPr fontId="7" type="noConversion"/>
  </si>
  <si>
    <t>300kg베이지무인쇄(필름)</t>
    <phoneticPr fontId="7" type="noConversion"/>
  </si>
  <si>
    <t>BELT1250 -930*930*1250</t>
    <phoneticPr fontId="5" type="noConversion"/>
  </si>
  <si>
    <t>1000KG 무인쇄 가르기(포철) 주입구(라이너X)</t>
    <phoneticPr fontId="5" type="noConversion"/>
  </si>
  <si>
    <t>삼화기업 m/b(l/m bag)</t>
    <phoneticPr fontId="5" type="noConversion"/>
  </si>
  <si>
    <t>O</t>
    <phoneticPr fontId="5" type="noConversion"/>
  </si>
  <si>
    <t>면사 - 플러스팩 매입</t>
    <phoneticPr fontId="5" type="noConversion"/>
  </si>
  <si>
    <t>면사</t>
    <phoneticPr fontId="9" type="noConversion"/>
  </si>
  <si>
    <t>주름지70mm - 오피아이 매입</t>
    <phoneticPr fontId="9" type="noConversion"/>
  </si>
  <si>
    <t>삼텍</t>
    <phoneticPr fontId="7" type="noConversion"/>
  </si>
  <si>
    <r>
      <t>옥타곤(</t>
    </r>
    <r>
      <rPr>
        <sz val="11"/>
        <color theme="1"/>
        <rFont val="맑은 고딕"/>
        <family val="3"/>
        <charset val="129"/>
        <scheme val="minor"/>
      </rPr>
      <t>500KG용)</t>
    </r>
    <phoneticPr fontId="7" type="noConversion"/>
  </si>
  <si>
    <t>옥타곤세트(625KG용)</t>
    <phoneticPr fontId="9" type="noConversion"/>
  </si>
  <si>
    <t>옥타곤(625KG)</t>
    <phoneticPr fontId="5" type="noConversion"/>
  </si>
  <si>
    <t>캡(625KG)</t>
    <phoneticPr fontId="5" type="noConversion"/>
  </si>
  <si>
    <r>
      <t>알루미늄필름(</t>
    </r>
    <r>
      <rPr>
        <sz val="11"/>
        <color theme="1"/>
        <rFont val="맑은 고딕"/>
        <family val="3"/>
        <charset val="129"/>
        <scheme val="minor"/>
      </rPr>
      <t>625KG용)</t>
    </r>
    <phoneticPr fontId="9" type="noConversion"/>
  </si>
  <si>
    <t>알루미늄필름(500kg용)</t>
    <phoneticPr fontId="9" type="noConversion"/>
  </si>
  <si>
    <t>300KG 무인쇄_베이지(필름)</t>
    <phoneticPr fontId="7" type="noConversion"/>
  </si>
  <si>
    <t>포철(더플타입) 100*100*160 유진매입</t>
    <phoneticPr fontId="5" type="noConversion"/>
  </si>
  <si>
    <t>삼텍 XLPE_필름 0.14</t>
    <phoneticPr fontId="5" type="noConversion"/>
  </si>
  <si>
    <t>금창이피씨</t>
    <phoneticPr fontId="7" type="noConversion"/>
  </si>
  <si>
    <t>주름지 50mm</t>
    <phoneticPr fontId="7" type="noConversion"/>
  </si>
  <si>
    <t>55mm로 출고</t>
    <phoneticPr fontId="5" type="noConversion"/>
  </si>
  <si>
    <t>엔지니어링플라스틱(EK) (45+10)85 원림매입</t>
    <phoneticPr fontId="5" type="noConversion"/>
  </si>
  <si>
    <t>일반무지(EK) (45+10)85</t>
    <phoneticPr fontId="5" type="noConversion"/>
  </si>
  <si>
    <t>무인쇄(EK)(46+10)88 /원림매입</t>
    <phoneticPr fontId="5" type="noConversion"/>
  </si>
  <si>
    <t>25KG 알루미늄</t>
    <phoneticPr fontId="5" type="noConversion"/>
  </si>
  <si>
    <t>대양피에스(대양산업)</t>
    <phoneticPr fontId="7" type="noConversion"/>
  </si>
  <si>
    <t>대원케미칼25kg</t>
    <phoneticPr fontId="7" type="noConversion"/>
  </si>
  <si>
    <t>SD지엔텍 일반무지(EK) (45+10)85 필름 LD 0.04 58*110 삽입</t>
    <phoneticPr fontId="7" type="noConversion"/>
  </si>
  <si>
    <t>데스코750kg알루미늄필름</t>
    <phoneticPr fontId="7" type="noConversion"/>
  </si>
  <si>
    <t>삼양사 알루미늄필름</t>
    <phoneticPr fontId="5" type="noConversion"/>
  </si>
  <si>
    <r>
      <t>데스코1</t>
    </r>
    <r>
      <rPr>
        <sz val="11"/>
        <color theme="1"/>
        <rFont val="맑은 고딕"/>
        <family val="3"/>
        <scheme val="minor"/>
      </rPr>
      <t>000kg바플</t>
    </r>
    <phoneticPr fontId="9" type="noConversion"/>
  </si>
  <si>
    <t>주름지 70mm</t>
    <phoneticPr fontId="7" type="noConversion"/>
  </si>
  <si>
    <t>대원케미칼-삼호제지매입</t>
    <phoneticPr fontId="5" type="noConversion"/>
  </si>
  <si>
    <t>AL필름515*850(Nylon AL필름)</t>
    <phoneticPr fontId="5" type="noConversion"/>
  </si>
  <si>
    <t>삼원산업㈜</t>
    <phoneticPr fontId="5" type="noConversion"/>
  </si>
  <si>
    <t>500kg 무인쇄 베이지 라이너O(유진매입)</t>
    <phoneticPr fontId="5" type="noConversion"/>
  </si>
  <si>
    <t>플러스컴</t>
    <phoneticPr fontId="7" type="noConversion"/>
  </si>
  <si>
    <r>
      <t>그린(</t>
    </r>
    <r>
      <rPr>
        <sz val="11"/>
        <color theme="1"/>
        <rFont val="맑은 고딕"/>
        <family val="3"/>
        <scheme val="minor"/>
      </rPr>
      <t>0.08) LD 0.08 54.5*90</t>
    </r>
    <phoneticPr fontId="7" type="noConversion"/>
  </si>
  <si>
    <r>
      <t>블루(</t>
    </r>
    <r>
      <rPr>
        <sz val="11"/>
        <color theme="1"/>
        <rFont val="맑은 고딕"/>
        <family val="3"/>
        <scheme val="minor"/>
      </rPr>
      <t>0.13) LD 0.13 54*90</t>
    </r>
    <phoneticPr fontId="7" type="noConversion"/>
  </si>
  <si>
    <t>레드(0.13) LD 0.13 54.5*90</t>
    <phoneticPr fontId="5" type="noConversion"/>
  </si>
  <si>
    <t>오렌지(0.13) LD 0.13 54.5*90</t>
    <phoneticPr fontId="5" type="noConversion"/>
  </si>
  <si>
    <t>일반무지(AK) 55*85</t>
    <phoneticPr fontId="7" type="noConversion"/>
  </si>
  <si>
    <t>무인쇄(AK) 55*85_필름 LD 0.13 54*90</t>
    <phoneticPr fontId="5" type="noConversion"/>
  </si>
  <si>
    <t>무인쇄(AK) 55*85_필름 LD 0.08 54.5*90</t>
    <phoneticPr fontId="5" type="noConversion"/>
  </si>
  <si>
    <t>주름지 54mm</t>
    <phoneticPr fontId="9" type="noConversion"/>
  </si>
  <si>
    <t>LD 54.5*90</t>
    <phoneticPr fontId="9" type="noConversion"/>
  </si>
  <si>
    <t>LD 0.08 54.5*90</t>
    <phoneticPr fontId="9" type="noConversion"/>
  </si>
  <si>
    <t>500KG 무인쇄 베이지_라이너있음</t>
    <phoneticPr fontId="5" type="noConversion"/>
  </si>
  <si>
    <t>택배비</t>
    <phoneticPr fontId="9" type="noConversion"/>
  </si>
  <si>
    <t>운반비</t>
    <phoneticPr fontId="9" type="noConversion"/>
  </si>
  <si>
    <t>태해영</t>
    <phoneticPr fontId="7" type="noConversion"/>
  </si>
  <si>
    <t>오피아이 매입</t>
    <phoneticPr fontId="5" type="noConversion"/>
  </si>
  <si>
    <t>주름지 55mm</t>
    <phoneticPr fontId="5" type="noConversion"/>
  </si>
  <si>
    <t>LD 0.04 60*110</t>
    <phoneticPr fontId="5" type="noConversion"/>
  </si>
  <si>
    <r>
      <t>태해영M</t>
    </r>
    <r>
      <rPr>
        <sz val="11"/>
        <color theme="1"/>
        <rFont val="맑은 고딕"/>
        <family val="3"/>
        <scheme val="minor"/>
      </rPr>
      <t>/B (44+10)80</t>
    </r>
    <phoneticPr fontId="9" type="noConversion"/>
  </si>
  <si>
    <r>
      <t>태해영M</t>
    </r>
    <r>
      <rPr>
        <sz val="11"/>
        <color theme="1"/>
        <rFont val="맑은 고딕"/>
        <family val="3"/>
        <scheme val="minor"/>
      </rPr>
      <t>/B (44+10)85</t>
    </r>
    <phoneticPr fontId="9" type="noConversion"/>
  </si>
  <si>
    <t>태해영 무인쇄(AK)(44+10)80</t>
    <phoneticPr fontId="9" type="noConversion"/>
  </si>
  <si>
    <t>일반무지(AK) (44+10)80</t>
    <phoneticPr fontId="9" type="noConversion"/>
  </si>
  <si>
    <t>일반무지(AK) (44+10)85</t>
    <phoneticPr fontId="9" type="noConversion"/>
  </si>
  <si>
    <t>일반무지(AK) (45+10)80</t>
    <phoneticPr fontId="9" type="noConversion"/>
  </si>
  <si>
    <r>
      <t>J</t>
    </r>
    <r>
      <rPr>
        <sz val="11"/>
        <color theme="1"/>
        <rFont val="맑은 고딕"/>
        <family val="3"/>
        <scheme val="minor"/>
      </rPr>
      <t>K플라텍
(제이케이플라텍)</t>
    </r>
    <phoneticPr fontId="7" type="noConversion"/>
  </si>
  <si>
    <t>스트레치필름</t>
    <phoneticPr fontId="7" type="noConversion"/>
  </si>
  <si>
    <t>주름지 70mm - 오피아이 매입</t>
    <phoneticPr fontId="9" type="noConversion"/>
  </si>
  <si>
    <t>랩(25㎛*1200m)</t>
    <phoneticPr fontId="5" type="noConversion"/>
  </si>
  <si>
    <t>플러스팩 매입</t>
    <phoneticPr fontId="5" type="noConversion"/>
  </si>
  <si>
    <t>랩(30㎛*1000m)</t>
    <phoneticPr fontId="5" type="noConversion"/>
  </si>
  <si>
    <t>고기능성 랩(18㎛*1440m)</t>
    <phoneticPr fontId="5" type="noConversion"/>
  </si>
  <si>
    <t>유피케이 매입</t>
    <phoneticPr fontId="5" type="noConversion"/>
  </si>
  <si>
    <t>운송비</t>
    <phoneticPr fontId="5" type="noConversion"/>
  </si>
  <si>
    <t>에이치더블류아이</t>
    <phoneticPr fontId="7" type="noConversion"/>
  </si>
  <si>
    <t>한독카본(분말)-20KG (42+13)95  EK</t>
    <phoneticPr fontId="7" type="noConversion"/>
  </si>
  <si>
    <t>한독카본(입상)-20kg (42+14)*80  AK</t>
    <phoneticPr fontId="9" type="noConversion"/>
  </si>
  <si>
    <r>
      <t>한독카본</t>
    </r>
    <r>
      <rPr>
        <sz val="11"/>
        <color theme="1"/>
        <rFont val="맑은 고딕"/>
        <family val="3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>무인쇄</t>
    </r>
    <r>
      <rPr>
        <sz val="11"/>
        <color theme="1"/>
        <rFont val="맑은 고딕"/>
        <family val="3"/>
        <scheme val="minor"/>
      </rPr>
      <t>)-</t>
    </r>
    <r>
      <rPr>
        <sz val="11"/>
        <color theme="1"/>
        <rFont val="맑은 고딕"/>
        <family val="3"/>
        <charset val="129"/>
        <scheme val="minor"/>
      </rPr>
      <t>20</t>
    </r>
    <r>
      <rPr>
        <sz val="11"/>
        <color theme="1"/>
        <rFont val="맑은 고딕"/>
        <family val="3"/>
        <scheme val="minor"/>
      </rPr>
      <t>kg (42+14)*80  AK</t>
    </r>
    <phoneticPr fontId="9" type="noConversion"/>
  </si>
  <si>
    <r>
      <t>한독카본m</t>
    </r>
    <r>
      <rPr>
        <sz val="11"/>
        <color theme="1"/>
        <rFont val="맑은 고딕"/>
        <family val="3"/>
        <charset val="129"/>
        <scheme val="minor"/>
      </rPr>
      <t>sds</t>
    </r>
    <phoneticPr fontId="9" type="noConversion"/>
  </si>
  <si>
    <t>액티브티드 카본 55*87(완)</t>
    <phoneticPr fontId="5" type="noConversion"/>
  </si>
  <si>
    <t>한울보조사료</t>
    <phoneticPr fontId="5" type="noConversion"/>
  </si>
  <si>
    <t>넬바이오텍 10KG (36+7.5)73 _LD 0.03 45*90</t>
    <phoneticPr fontId="9" type="noConversion"/>
  </si>
  <si>
    <t>가공비 70원 / BAG 325/필름 70원</t>
    <phoneticPr fontId="5" type="noConversion"/>
  </si>
  <si>
    <t xml:space="preserve">넬바이오텍 10KG (36+7.5)73 </t>
  </si>
  <si>
    <t xml:space="preserve">넬바이오텍 10KG 무인쇄 (36+7.5)73 </t>
    <phoneticPr fontId="5" type="noConversion"/>
  </si>
  <si>
    <t>넬바이오텍 20KG (42+7.5)90_HD 0.03 53*105</t>
    <phoneticPr fontId="9" type="noConversion"/>
  </si>
  <si>
    <t>넬바이오텍 20KG (42+7.5)90</t>
    <phoneticPr fontId="9" type="noConversion"/>
  </si>
  <si>
    <t>일반무지(EK) (42+14)90 - 원림매입</t>
    <phoneticPr fontId="5" type="noConversion"/>
  </si>
  <si>
    <t>일반무지(EK) (45+10)85 - 원림매입</t>
    <phoneticPr fontId="5" type="noConversion"/>
  </si>
  <si>
    <t>일반무지(AK) (45+10)85 원림매입</t>
    <phoneticPr fontId="9" type="noConversion"/>
  </si>
  <si>
    <t>MAPKA</t>
    <phoneticPr fontId="5" type="noConversion"/>
  </si>
  <si>
    <t>대두 30KG (40+10)94</t>
    <phoneticPr fontId="5" type="noConversion"/>
  </si>
  <si>
    <t>L/M 12mm 슬리터 (검정)</t>
    <phoneticPr fontId="5" type="noConversion"/>
  </si>
  <si>
    <t>10mm / 50mm L/M 슬리터 (화이트)</t>
    <phoneticPr fontId="5" type="noConversion"/>
  </si>
  <si>
    <t>검정색 L/M ROLL</t>
    <phoneticPr fontId="5" type="noConversion"/>
  </si>
  <si>
    <t>백색 L/M ROLL</t>
    <phoneticPr fontId="5" type="noConversion"/>
  </si>
  <si>
    <t>양면테이프</t>
    <phoneticPr fontId="5" type="noConversion"/>
  </si>
  <si>
    <t xml:space="preserve">G </t>
    <phoneticPr fontId="5" type="noConversion"/>
  </si>
  <si>
    <t>팔레트</t>
    <phoneticPr fontId="5" type="noConversion"/>
  </si>
  <si>
    <t>주름지 54mm_백색 원림매입</t>
    <phoneticPr fontId="5" type="noConversion"/>
  </si>
  <si>
    <t>주름지 50mm_백색</t>
    <phoneticPr fontId="5" type="noConversion"/>
  </si>
  <si>
    <t>부평냉동</t>
    <phoneticPr fontId="7" type="noConversion"/>
  </si>
  <si>
    <r>
      <t>p</t>
    </r>
    <r>
      <rPr>
        <sz val="11"/>
        <color theme="1"/>
        <rFont val="맑은 고딕"/>
        <family val="3"/>
        <scheme val="minor"/>
      </rPr>
      <t>p사</t>
    </r>
    <phoneticPr fontId="7" type="noConversion"/>
  </si>
  <si>
    <t>청운엔터프라이즈</t>
    <phoneticPr fontId="7" type="noConversion"/>
  </si>
  <si>
    <r>
      <t>상고통상2</t>
    </r>
    <r>
      <rPr>
        <sz val="11"/>
        <color theme="1"/>
        <rFont val="맑은 고딕"/>
        <family val="3"/>
        <scheme val="minor"/>
      </rPr>
      <t>5KG</t>
    </r>
    <phoneticPr fontId="7" type="noConversion"/>
  </si>
  <si>
    <r>
      <t>주름지5</t>
    </r>
    <r>
      <rPr>
        <sz val="11"/>
        <color theme="1"/>
        <rFont val="맑은 고딕"/>
        <family val="3"/>
        <scheme val="minor"/>
      </rPr>
      <t>4MM</t>
    </r>
    <phoneticPr fontId="7" type="noConversion"/>
  </si>
  <si>
    <t>(유)테일러메이드
골프볼 코리아</t>
    <phoneticPr fontId="7" type="noConversion"/>
  </si>
  <si>
    <t xml:space="preserve">무인쇄(EK) (48+12)97 </t>
    <phoneticPr fontId="7" type="noConversion"/>
  </si>
  <si>
    <t>낫소골프</t>
    <phoneticPr fontId="7" type="noConversion"/>
  </si>
  <si>
    <t xml:space="preserve">낫소골프 무인쇄(EK) (48+12)97 </t>
    <phoneticPr fontId="7" type="noConversion"/>
  </si>
  <si>
    <t>주)드림켐</t>
    <phoneticPr fontId="7" type="noConversion"/>
  </si>
  <si>
    <r>
      <t>주름지7</t>
    </r>
    <r>
      <rPr>
        <sz val="11"/>
        <color theme="1"/>
        <rFont val="맑은 고딕"/>
        <family val="3"/>
        <scheme val="minor"/>
      </rPr>
      <t>0mm</t>
    </r>
    <phoneticPr fontId="7" type="noConversion"/>
  </si>
  <si>
    <r>
      <t>주름지7</t>
    </r>
    <r>
      <rPr>
        <sz val="11"/>
        <color theme="1"/>
        <rFont val="맑은 고딕"/>
        <family val="3"/>
        <scheme val="minor"/>
      </rPr>
      <t>0mm - 2차</t>
    </r>
    <phoneticPr fontId="7" type="noConversion"/>
  </si>
  <si>
    <t>면사(적색)-플러스팩매입</t>
    <phoneticPr fontId="5" type="noConversion"/>
  </si>
  <si>
    <t>1박스</t>
    <phoneticPr fontId="5" type="noConversion"/>
  </si>
  <si>
    <t>매트일번지</t>
    <phoneticPr fontId="5" type="noConversion"/>
  </si>
  <si>
    <t>일반무지 EK (45+10)*85 신진팩매입</t>
    <phoneticPr fontId="9" type="noConversion"/>
  </si>
  <si>
    <t xml:space="preserve">일반무지 AK (45+10)*85 </t>
    <phoneticPr fontId="9" type="noConversion"/>
  </si>
  <si>
    <t>주름지 54mm-원림매입</t>
    <phoneticPr fontId="5" type="noConversion"/>
  </si>
  <si>
    <t>주름지 55mm-오피아이매입</t>
    <phoneticPr fontId="5" type="noConversion"/>
  </si>
  <si>
    <t>세운산업</t>
    <phoneticPr fontId="5" type="noConversion"/>
  </si>
  <si>
    <t>주름지 50mm-오피아이매입</t>
    <phoneticPr fontId="5" type="noConversion"/>
  </si>
  <si>
    <t>주름지 55mm-오피아이매입</t>
  </si>
  <si>
    <t>디지플라텍</t>
    <phoneticPr fontId="7" type="noConversion"/>
  </si>
  <si>
    <t>무인쇄(합지)</t>
    <phoneticPr fontId="9" type="noConversion"/>
  </si>
  <si>
    <t>진엔프라</t>
    <phoneticPr fontId="9" type="noConversion"/>
  </si>
  <si>
    <t>진엔프라 폴리우레탄(TPU)</t>
    <phoneticPr fontId="9" type="noConversion"/>
  </si>
  <si>
    <t>주름지 60mm</t>
    <phoneticPr fontId="5" type="noConversion"/>
  </si>
  <si>
    <t>YJ케미칼(와이제이)</t>
    <phoneticPr fontId="9" type="noConversion"/>
  </si>
  <si>
    <t>500KG톤백</t>
    <phoneticPr fontId="9" type="noConversion"/>
  </si>
  <si>
    <t>활성탄소 L/M BAG_원림매입</t>
    <phoneticPr fontId="5" type="noConversion"/>
  </si>
  <si>
    <t>800KG 무인쇄(라이너)</t>
    <phoneticPr fontId="5" type="noConversion"/>
  </si>
  <si>
    <t>1000kg톤백</t>
    <phoneticPr fontId="5" type="noConversion"/>
  </si>
  <si>
    <t>유진매입</t>
    <phoneticPr fontId="5" type="noConversion"/>
  </si>
  <si>
    <t>항공료</t>
    <phoneticPr fontId="5" type="noConversion"/>
  </si>
  <si>
    <t>태경비케이
단양1공장</t>
    <phoneticPr fontId="5" type="noConversion"/>
  </si>
  <si>
    <t>TK 500KG로프백(90*90*130)</t>
    <phoneticPr fontId="9" type="noConversion"/>
  </si>
  <si>
    <t>태경BK 무인쇄 코팅백_투벨트</t>
    <phoneticPr fontId="9" type="noConversion"/>
  </si>
  <si>
    <t>유진매입(WS-51)</t>
    <phoneticPr fontId="5" type="noConversion"/>
  </si>
  <si>
    <t>특급생석회분말 670*420*80_LD 0.04 50*97(다음발주건 길이 75cm)</t>
    <phoneticPr fontId="5" type="noConversion"/>
  </si>
  <si>
    <t>위에 나온 속비닐 뒤집어서 (뒤집은 비닐 30cm이상)</t>
    <phoneticPr fontId="5" type="noConversion"/>
  </si>
  <si>
    <t>75cm길이 변경시 동판비용</t>
    <phoneticPr fontId="5" type="noConversion"/>
  </si>
  <si>
    <t>바이오칼슘(입상수산화칼슘)(44.5+10)74.5_HD 0.03 (45+10)*105 동시봉제 오버랩</t>
    <phoneticPr fontId="5" type="noConversion"/>
  </si>
  <si>
    <t>동화포장매입 / 뒤집은 비닐 30cm 이상</t>
    <phoneticPr fontId="5" type="noConversion"/>
  </si>
  <si>
    <t>동판비용</t>
    <phoneticPr fontId="5" type="noConversion"/>
  </si>
  <si>
    <t>수산화칼슘(BK-H.P)(공업용)(45+10)87_HD 0.04 (44.5+10)117 동시봉제</t>
    <phoneticPr fontId="5" type="noConversion"/>
  </si>
  <si>
    <t>동화포장매입 / 다음발주건부터 비닐 밖으로 나온부분 30cm 길게요청</t>
    <phoneticPr fontId="5" type="noConversion"/>
  </si>
  <si>
    <t>한승케미칼 POWDER CaO(42+7.5)69 _LD 0.04 50*100 일반삽입 오버랩</t>
    <phoneticPr fontId="5" type="noConversion"/>
  </si>
  <si>
    <t>동화포장,대광,한성</t>
    <phoneticPr fontId="5" type="noConversion"/>
  </si>
  <si>
    <t>소석회 1급 600*475*100 (Normal Grade)</t>
    <phoneticPr fontId="5" type="noConversion"/>
  </si>
  <si>
    <t>금풍매입</t>
    <phoneticPr fontId="5" type="noConversion"/>
  </si>
  <si>
    <t>소석회 1급 600*475*100 (Quick Fill Grade)</t>
    <phoneticPr fontId="5" type="noConversion"/>
  </si>
  <si>
    <t>태경비케이 단양2공장</t>
    <phoneticPr fontId="9" type="noConversion"/>
  </si>
  <si>
    <t>F</t>
    <phoneticPr fontId="5" type="noConversion"/>
  </si>
  <si>
    <t>BK-아연보르도 606 5KG 300*440</t>
    <phoneticPr fontId="5" type="noConversion"/>
  </si>
  <si>
    <t>5도인쇄</t>
    <phoneticPr fontId="5" type="noConversion"/>
  </si>
  <si>
    <t>BK보르도 606  300*440</t>
    <phoneticPr fontId="5" type="noConversion"/>
  </si>
  <si>
    <t>2도인쇄</t>
    <phoneticPr fontId="5" type="noConversion"/>
  </si>
  <si>
    <t>플러스칼슘 5KG 300*440</t>
    <phoneticPr fontId="5" type="noConversion"/>
  </si>
  <si>
    <t>동판비용(5도인쇄)-플러스칼슘</t>
    <phoneticPr fontId="5" type="noConversion"/>
  </si>
  <si>
    <t>동판비용(2도인쇄)-보르도606(수정)</t>
    <phoneticPr fontId="5" type="noConversion"/>
  </si>
  <si>
    <t>보르도606 박스 360*265*135</t>
    <phoneticPr fontId="5" type="noConversion"/>
  </si>
  <si>
    <t>1260/2112</t>
    <phoneticPr fontId="5" type="noConversion"/>
  </si>
  <si>
    <t>T/S(목형비)</t>
    <phoneticPr fontId="5" type="noConversion"/>
  </si>
  <si>
    <t>동판비용-보르도606박스</t>
    <phoneticPr fontId="5" type="noConversion"/>
  </si>
  <si>
    <t>LD 0.04(35+25)50 -화인케미칼 매입</t>
    <phoneticPr fontId="5" type="noConversion"/>
  </si>
  <si>
    <t>BOX 필름</t>
    <phoneticPr fontId="5" type="noConversion"/>
  </si>
  <si>
    <t>㈜충무화학 정선</t>
    <phoneticPr fontId="9" type="noConversion"/>
  </si>
  <si>
    <t>현대제철용 무인쇄 코팅백_투벨트</t>
    <phoneticPr fontId="9" type="noConversion"/>
  </si>
  <si>
    <t>현대석회㈜</t>
    <phoneticPr fontId="9" type="noConversion"/>
  </si>
  <si>
    <t>현대석회 무인쇄 코팅백_투벨트</t>
    <phoneticPr fontId="9" type="noConversion"/>
  </si>
  <si>
    <t>월드켐코리아</t>
    <phoneticPr fontId="9" type="noConversion"/>
  </si>
  <si>
    <t>GPPS 25KG</t>
    <phoneticPr fontId="9" type="noConversion"/>
  </si>
  <si>
    <t>수지판</t>
    <phoneticPr fontId="9" type="noConversion"/>
  </si>
  <si>
    <t>대송정밀화학</t>
    <phoneticPr fontId="9" type="noConversion"/>
  </si>
  <si>
    <r>
      <rPr>
        <b/>
        <sz val="11"/>
        <color theme="1"/>
        <rFont val="맑은 고딕"/>
        <family val="3"/>
        <charset val="129"/>
        <scheme val="minor"/>
      </rPr>
      <t>DS 106</t>
    </r>
    <r>
      <rPr>
        <sz val="11"/>
        <color theme="1"/>
        <rFont val="맑은 고딕"/>
        <family val="3"/>
        <charset val="129"/>
        <scheme val="minor"/>
      </rPr>
      <t>(동시봉제오버랩)</t>
    </r>
    <phoneticPr fontId="9" type="noConversion"/>
  </si>
  <si>
    <r>
      <rPr>
        <b/>
        <sz val="11"/>
        <color theme="1"/>
        <rFont val="맑은 고딕"/>
        <family val="3"/>
        <charset val="129"/>
        <scheme val="minor"/>
      </rPr>
      <t>DS-50</t>
    </r>
    <r>
      <rPr>
        <sz val="11"/>
        <color theme="1"/>
        <rFont val="맑은 고딕"/>
        <family val="3"/>
        <charset val="129"/>
        <scheme val="minor"/>
      </rPr>
      <t xml:space="preserve"> 50*87(HD 0.03 50*97동시봉제)</t>
    </r>
    <phoneticPr fontId="9" type="noConversion"/>
  </si>
  <si>
    <r>
      <rPr>
        <b/>
        <sz val="11"/>
        <color theme="1"/>
        <rFont val="맑은 고딕"/>
        <family val="3"/>
        <charset val="129"/>
        <scheme val="minor"/>
      </rPr>
      <t>DS-65</t>
    </r>
    <r>
      <rPr>
        <sz val="11"/>
        <color theme="1"/>
        <rFont val="맑은 고딕"/>
        <family val="3"/>
        <charset val="129"/>
        <scheme val="minor"/>
      </rPr>
      <t xml:space="preserve"> 50*97(HD 0.03 50*107동시봉제)</t>
    </r>
    <phoneticPr fontId="9" type="noConversion"/>
  </si>
  <si>
    <t>DS-50(46+10)85_LD0.04 56*100 동시봉제</t>
    <phoneticPr fontId="5" type="noConversion"/>
  </si>
  <si>
    <t>DS-65 (45+10)95 (LD 0.04 56*115동시봉제)</t>
    <phoneticPr fontId="5" type="noConversion"/>
  </si>
  <si>
    <t>무인쇄 50*95</t>
    <phoneticPr fontId="9" type="noConversion"/>
  </si>
  <si>
    <t>신성이엠씨</t>
    <phoneticPr fontId="5" type="noConversion"/>
  </si>
  <si>
    <t>낙원포장</t>
    <phoneticPr fontId="5" type="noConversion"/>
  </si>
  <si>
    <t>낙원포장 메가멜트(화이트) (45+10)85</t>
    <phoneticPr fontId="5" type="noConversion"/>
  </si>
  <si>
    <t>낙원포장 메가멜트(브라운) (AK) (45+10)85</t>
    <phoneticPr fontId="5" type="noConversion"/>
  </si>
  <si>
    <t>NW-1200 모조</t>
    <phoneticPr fontId="5" type="noConversion"/>
  </si>
  <si>
    <t>소계</t>
    <phoneticPr fontId="9" type="noConversion"/>
  </si>
  <si>
    <t>공단수지</t>
    <phoneticPr fontId="9" type="noConversion"/>
  </si>
  <si>
    <t>일반무지(EK) 55*85_필름LD 0.12 54.5*90 삽입</t>
    <phoneticPr fontId="5" type="noConversion"/>
  </si>
  <si>
    <t>애니켐</t>
    <phoneticPr fontId="5" type="noConversion"/>
  </si>
  <si>
    <t>애니켐 25KG(EK) (45+10)84 필름 0.07 (44.5+10)*83 양면테이프</t>
    <phoneticPr fontId="5" type="noConversion"/>
  </si>
  <si>
    <t>S.G세제(쉘그린)</t>
    <phoneticPr fontId="5" type="noConversion"/>
  </si>
  <si>
    <t>쉘그린 뉴 슈퍼</t>
    <phoneticPr fontId="5" type="noConversion"/>
  </si>
  <si>
    <t>쉘그린 HI-POWER</t>
    <phoneticPr fontId="5" type="noConversion"/>
  </si>
  <si>
    <t>HD 0.02(50*78)</t>
    <phoneticPr fontId="5" type="noConversion"/>
  </si>
  <si>
    <t>화인케미칼 매입</t>
    <phoneticPr fontId="5" type="noConversion"/>
  </si>
  <si>
    <t>경일화학</t>
    <phoneticPr fontId="9" type="noConversion"/>
  </si>
  <si>
    <t>b급s/w bag</t>
    <phoneticPr fontId="9" type="noConversion"/>
  </si>
  <si>
    <t>일반무지(EK) (45+10)85 25KG</t>
    <phoneticPr fontId="5" type="noConversion"/>
  </si>
  <si>
    <t xml:space="preserve">경일화학 25KG(인쇄) = 엔지니어링플라스틱 25KG (45+10)82.5 </t>
    <phoneticPr fontId="5" type="noConversion"/>
  </si>
  <si>
    <t>창림</t>
    <phoneticPr fontId="9" type="noConversion"/>
  </si>
  <si>
    <t>창림25KG</t>
    <phoneticPr fontId="9" type="noConversion"/>
  </si>
  <si>
    <t>창림25KG(EK)</t>
    <phoneticPr fontId="9" type="noConversion"/>
  </si>
  <si>
    <t>현대특수사료
현대수산사료</t>
    <phoneticPr fontId="5" type="noConversion"/>
  </si>
  <si>
    <t>800KG 무인쇄_필름유</t>
    <phoneticPr fontId="9" type="noConversion"/>
  </si>
  <si>
    <t>400KG 무인쇄(유진매입)</t>
    <phoneticPr fontId="5" type="noConversion"/>
  </si>
  <si>
    <t>현대특수사료(Laminate)</t>
    <phoneticPr fontId="5" type="noConversion"/>
  </si>
  <si>
    <r>
      <t xml:space="preserve">세금계산서 끊을때 </t>
    </r>
    <r>
      <rPr>
        <b/>
        <sz val="11"/>
        <color theme="1"/>
        <rFont val="맑은 고딕"/>
        <family val="3"/>
        <charset val="129"/>
        <scheme val="minor"/>
      </rPr>
      <t>담당자(홍성복 부장)010-5366-7575</t>
    </r>
    <r>
      <rPr>
        <sz val="11"/>
        <color theme="1"/>
        <rFont val="맑은 고딕"/>
        <family val="3"/>
        <charset val="129"/>
        <scheme val="minor"/>
      </rPr>
      <t>하고 전화하고 보내기 -(특수사료(강릉)로 끊을때도 있고 수산사료(부산)로 끊을때도 있을것)</t>
    </r>
    <phoneticPr fontId="5" type="noConversion"/>
  </si>
  <si>
    <t>신일화학공업</t>
    <phoneticPr fontId="9" type="noConversion"/>
  </si>
  <si>
    <t>B급 S/W</t>
    <phoneticPr fontId="9" type="noConversion"/>
  </si>
  <si>
    <t>신일엔지니어링플라스틱 (45+10)82</t>
    <phoneticPr fontId="5" type="noConversion"/>
  </si>
  <si>
    <t>신일엔지니어링플라스틱(필름) 55*82</t>
    <phoneticPr fontId="5" type="noConversion"/>
  </si>
  <si>
    <t>신일화학 NO-Grade (45+10)85</t>
    <phoneticPr fontId="5" type="noConversion"/>
  </si>
  <si>
    <t>대원실업</t>
    <phoneticPr fontId="5" type="noConversion"/>
  </si>
  <si>
    <t>BRAND U</t>
    <phoneticPr fontId="5" type="noConversion"/>
  </si>
  <si>
    <t>BRAND I</t>
    <phoneticPr fontId="5" type="noConversion"/>
  </si>
  <si>
    <t>한화솔루션
울산2공장
(역발행)</t>
    <phoneticPr fontId="9" type="noConversion"/>
  </si>
  <si>
    <t>한화 코플리머 S/W BOX BAG(소)</t>
    <phoneticPr fontId="9" type="noConversion"/>
  </si>
  <si>
    <t>한화 PVC S-BAG 800KG (3차)</t>
  </si>
  <si>
    <t>한화 PVC S-BAG 800KG (2차)</t>
    <phoneticPr fontId="5" type="noConversion"/>
  </si>
  <si>
    <t>한화 PVC S-BAG 800KG</t>
    <phoneticPr fontId="5" type="noConversion"/>
  </si>
  <si>
    <t>한화첨단소재㈜</t>
    <phoneticPr fontId="9" type="noConversion"/>
  </si>
  <si>
    <t>ECOM AL BAG (43+15)82.5 (선급금 50%)</t>
    <phoneticPr fontId="5" type="noConversion"/>
  </si>
  <si>
    <t>ECOM AL BAG (43+15)82.5 (잔금 50%)</t>
    <phoneticPr fontId="5" type="noConversion"/>
  </si>
  <si>
    <t>동판비 (1,848,000원 VAT포함 중 50%)</t>
    <phoneticPr fontId="5" type="noConversion"/>
  </si>
  <si>
    <t>에스에스켐텍</t>
    <phoneticPr fontId="9" type="noConversion"/>
  </si>
  <si>
    <t>화이트 무인쇄 40*15*90</t>
    <phoneticPr fontId="9" type="noConversion"/>
  </si>
  <si>
    <t>디에스이노콤
= 삼일이노콤</t>
    <phoneticPr fontId="9" type="noConversion"/>
  </si>
  <si>
    <t>AK 무인쇄(LD0.09) 55*85</t>
    <phoneticPr fontId="9" type="noConversion"/>
  </si>
  <si>
    <t>500KG 인쇄(삼일)</t>
    <phoneticPr fontId="5" type="noConversion"/>
  </si>
  <si>
    <t>2공장으로 발행</t>
    <phoneticPr fontId="5" type="noConversion"/>
  </si>
  <si>
    <t>500KG 무인쇄 베이지(라이너)</t>
    <phoneticPr fontId="5" type="noConversion"/>
  </si>
  <si>
    <t>500KG 인쇄(삼일)_2차발행</t>
    <phoneticPr fontId="5" type="noConversion"/>
  </si>
  <si>
    <t>2공장으로 발행</t>
  </si>
  <si>
    <t>500KG 무인쇄 베이지(라이너) _2차발행</t>
    <phoneticPr fontId="5" type="noConversion"/>
  </si>
  <si>
    <t>800KG 무인쇄 베이지(라이너) 벨트2R 92*92*125</t>
    <phoneticPr fontId="5" type="noConversion"/>
  </si>
  <si>
    <t>일반무지(EK) (합지/양면테이프작업) 55*85_LD 0.08 54.5*84</t>
    <phoneticPr fontId="5" type="noConversion"/>
  </si>
  <si>
    <t>S/W 25KG 백상지</t>
    <phoneticPr fontId="5" type="noConversion"/>
  </si>
  <si>
    <t>엠지케미칼</t>
    <phoneticPr fontId="5" type="noConversion"/>
  </si>
  <si>
    <t>엠지케미칼 S/W BAG</t>
    <phoneticPr fontId="5" type="noConversion"/>
  </si>
  <si>
    <t>엠지케미칼 LE RESIN(필름O) 필름 0.06 55*80 원림매입</t>
    <phoneticPr fontId="5" type="noConversion"/>
  </si>
  <si>
    <t>엠지케미칼 LE RESIN(필름X) (AK) 55*80</t>
    <phoneticPr fontId="5" type="noConversion"/>
  </si>
  <si>
    <t>LD 0.04 (58*110)</t>
    <phoneticPr fontId="5" type="noConversion"/>
  </si>
  <si>
    <t>효성</t>
    <phoneticPr fontId="5" type="noConversion"/>
  </si>
  <si>
    <t>옥타곤 세트(625KG)</t>
    <phoneticPr fontId="5" type="noConversion"/>
  </si>
  <si>
    <t>옥타곤 세트(500KG)</t>
    <phoneticPr fontId="7" type="noConversion"/>
  </si>
  <si>
    <t>LD 0.07(185*310)</t>
    <phoneticPr fontId="5" type="noConversion"/>
  </si>
  <si>
    <t>LD 0.045(185*310)</t>
    <phoneticPr fontId="5" type="noConversion"/>
  </si>
  <si>
    <t>새서울마대</t>
    <phoneticPr fontId="9" type="noConversion"/>
  </si>
  <si>
    <t>한국화학 M-CLEANER (42+6)66</t>
    <phoneticPr fontId="9" type="noConversion"/>
  </si>
  <si>
    <t>한국화학 M-CLEANER(AK) (42+6)66_필름 HD 0.025 (42+6)90 동시봉제</t>
    <phoneticPr fontId="9" type="noConversion"/>
  </si>
  <si>
    <t>L/M BAG 후면MSDS(57*87 완)</t>
    <phoneticPr fontId="5" type="noConversion"/>
  </si>
  <si>
    <t>알파비앤에이치</t>
    <phoneticPr fontId="9" type="noConversion"/>
  </si>
  <si>
    <t xml:space="preserve">무인쇄 (42+8)*80  EK지 </t>
    <phoneticPr fontId="9" type="noConversion"/>
  </si>
  <si>
    <t>2000000결재(1/19)</t>
    <phoneticPr fontId="5" type="noConversion"/>
  </si>
  <si>
    <t>강남마대무역상사</t>
    <phoneticPr fontId="5" type="noConversion"/>
  </si>
  <si>
    <t>L/M BAG (B급)</t>
    <phoneticPr fontId="5" type="noConversion"/>
  </si>
  <si>
    <t>초코인터내셔널</t>
    <phoneticPr fontId="9" type="noConversion"/>
  </si>
  <si>
    <t>B급 L/M BAG</t>
    <phoneticPr fontId="9" type="noConversion"/>
  </si>
  <si>
    <t>B급 L/M BAG-2차</t>
    <phoneticPr fontId="9" type="noConversion"/>
  </si>
  <si>
    <t>B급 L/M BAG-3차</t>
    <phoneticPr fontId="9" type="noConversion"/>
  </si>
  <si>
    <t>맥섬석지엠</t>
    <phoneticPr fontId="5" type="noConversion"/>
  </si>
  <si>
    <t>주름지50mm 백색</t>
    <phoneticPr fontId="5" type="noConversion"/>
  </si>
  <si>
    <t>주름지50mm</t>
    <phoneticPr fontId="5" type="noConversion"/>
  </si>
  <si>
    <t>그로피드 웰팜(백상지S/W)</t>
    <phoneticPr fontId="5" type="noConversion"/>
  </si>
  <si>
    <t>L/M BAG 무인쇄</t>
    <phoneticPr fontId="5" type="noConversion"/>
  </si>
  <si>
    <t>알에이</t>
    <phoneticPr fontId="9" type="noConversion"/>
  </si>
  <si>
    <t>무인쇄(합지) (45+10)*85</t>
    <phoneticPr fontId="9" type="noConversion"/>
  </si>
  <si>
    <t>500KG 무인쇄 (필름O) 90*90*113</t>
    <phoneticPr fontId="5" type="noConversion"/>
  </si>
  <si>
    <t>알에이 할로겐프리(녹색) 51*85 AL삽입</t>
    <phoneticPr fontId="5" type="noConversion"/>
  </si>
  <si>
    <t>알에이 할로겐프리(녹색) (45+10)*85</t>
    <phoneticPr fontId="5" type="noConversion"/>
  </si>
  <si>
    <t>알에이 엔지니어링(적색) (45+10)*85_필름HD0.03</t>
    <phoneticPr fontId="5" type="noConversion"/>
  </si>
  <si>
    <t>알에이 무인쇄 L/M BAG (41+17)89완</t>
    <phoneticPr fontId="5" type="noConversion"/>
  </si>
  <si>
    <t>알에이 무인쇄 AK 알루미늄필름(54*85)</t>
    <phoneticPr fontId="5" type="noConversion"/>
  </si>
  <si>
    <t>LD 0.03 (45.5+10)105</t>
    <phoneticPr fontId="5" type="noConversion"/>
  </si>
  <si>
    <t>알루미늄 필름</t>
    <phoneticPr fontId="5" type="noConversion"/>
  </si>
  <si>
    <t>엔투비
포스코케미칼
(역발행)</t>
    <phoneticPr fontId="9" type="noConversion"/>
  </si>
  <si>
    <t>무인쇄 가르기 100*100*160</t>
    <phoneticPr fontId="5" type="noConversion"/>
  </si>
  <si>
    <t>무인쇄 더플 100*100*160</t>
    <phoneticPr fontId="5" type="noConversion"/>
  </si>
  <si>
    <t>무인쇄 더플 100*100*165</t>
    <phoneticPr fontId="5" type="noConversion"/>
  </si>
  <si>
    <t>무인쇄더플 95*95*1420</t>
    <phoneticPr fontId="5" type="noConversion"/>
  </si>
  <si>
    <t>한성포장산업</t>
    <phoneticPr fontId="5" type="noConversion"/>
  </si>
  <si>
    <t>피쉬트리  인쇄 1000kg</t>
    <phoneticPr fontId="5" type="noConversion"/>
  </si>
  <si>
    <t>피쉬트리 무인쇄 1000kg</t>
    <phoneticPr fontId="5" type="noConversion"/>
  </si>
  <si>
    <t>500KG 무인쇄(베이지_라이너없음)</t>
    <phoneticPr fontId="5" type="noConversion"/>
  </si>
  <si>
    <t>500KG 무인쇄(베이지_라이너있음)</t>
    <phoneticPr fontId="5" type="noConversion"/>
  </si>
  <si>
    <t>우성산업</t>
    <phoneticPr fontId="5" type="noConversion"/>
  </si>
  <si>
    <t>무인쇄(AK) 55*85_LD 0.08 54.5*90(B/S) 삽입</t>
    <phoneticPr fontId="5" type="noConversion"/>
  </si>
  <si>
    <t>무인쇄(EK) 55*85_LD 0.08 54.5*90(B/S) 삽입</t>
    <phoneticPr fontId="5" type="noConversion"/>
  </si>
  <si>
    <t>WOOPYLENE(AK) 55*85_LD 0.08 54.5*90(B/S) 삽입</t>
    <phoneticPr fontId="5" type="noConversion"/>
  </si>
  <si>
    <t>WOOPYLENE(EK) 55*85_LD 0.08 54.5*90(B/S) 삽입</t>
    <phoneticPr fontId="5" type="noConversion"/>
  </si>
  <si>
    <t>WOOAMIDE 66(AK) 55*85_LD 0.08 54.5*90(B/S) 삽입</t>
    <phoneticPr fontId="5" type="noConversion"/>
  </si>
  <si>
    <t>WOOAMIDE 66(EK) 55*85_LD 0.08 54.5*90(B/S) 삽입</t>
    <phoneticPr fontId="5" type="noConversion"/>
  </si>
  <si>
    <t>WOOAMID 6(AK) 55*85_LD 0.08 54.5*90(B/S) 삽입</t>
    <phoneticPr fontId="5" type="noConversion"/>
  </si>
  <si>
    <t>WOOAMID 6(EK) 55*85_LD 0.08 54.5*90(B/S) 삽입</t>
    <phoneticPr fontId="5" type="noConversion"/>
  </si>
  <si>
    <t>LD 0.13 54.5*90(B/S)</t>
    <phoneticPr fontId="5" type="noConversion"/>
  </si>
  <si>
    <t>LD 0.08 54.5*90(B/S)</t>
    <phoneticPr fontId="5" type="noConversion"/>
  </si>
  <si>
    <t>한국 SY
한국에스와이</t>
    <phoneticPr fontId="9" type="noConversion"/>
  </si>
  <si>
    <t>500KG 무인쇄</t>
    <phoneticPr fontId="5" type="noConversion"/>
  </si>
  <si>
    <t>친환경고무칩 100*100*130</t>
    <phoneticPr fontId="5" type="noConversion"/>
  </si>
  <si>
    <t>이에스디케미칼 도전성컴파운드 90*90*110</t>
    <phoneticPr fontId="5" type="noConversion"/>
  </si>
  <si>
    <t>GMT BAG (MSDS) 90*90*100</t>
    <phoneticPr fontId="5" type="noConversion"/>
  </si>
  <si>
    <t>공명테크</t>
    <phoneticPr fontId="5" type="noConversion"/>
  </si>
  <si>
    <t>GMT BAG 90*90*100</t>
    <phoneticPr fontId="5" type="noConversion"/>
  </si>
  <si>
    <t>유진통상</t>
    <phoneticPr fontId="5" type="noConversion"/>
  </si>
  <si>
    <t>아쿠아블루 1톤(B급)</t>
    <phoneticPr fontId="5" type="noConversion"/>
  </si>
  <si>
    <t>재고분 3500원 + 운반비 280원</t>
    <phoneticPr fontId="5" type="noConversion"/>
  </si>
  <si>
    <t>동경식품(영광식품)</t>
    <phoneticPr fontId="5" type="noConversion"/>
  </si>
  <si>
    <t>부직포백 35*45(300pcs/box)</t>
    <phoneticPr fontId="5" type="noConversion"/>
  </si>
  <si>
    <t>두성켐텍 매입</t>
    <phoneticPr fontId="5" type="noConversion"/>
  </si>
  <si>
    <t>부직포백 45*50(300pcs/box)</t>
    <phoneticPr fontId="5" type="noConversion"/>
  </si>
  <si>
    <t>조은푸드</t>
    <phoneticPr fontId="5" type="noConversion"/>
  </si>
  <si>
    <t>대원개발</t>
    <phoneticPr fontId="5" type="noConversion"/>
  </si>
  <si>
    <t>한주소금 1톤</t>
    <phoneticPr fontId="5" type="noConversion"/>
  </si>
  <si>
    <t>대양매입</t>
    <phoneticPr fontId="5" type="noConversion"/>
  </si>
  <si>
    <t>에스알씨</t>
    <phoneticPr fontId="5" type="noConversion"/>
  </si>
  <si>
    <t>남광주재 1톤용</t>
    <phoneticPr fontId="5" type="noConversion"/>
  </si>
  <si>
    <t>전기로 충전제 90*90*100</t>
    <phoneticPr fontId="5" type="noConversion"/>
  </si>
  <si>
    <t>전기로 충전제_신규</t>
    <phoneticPr fontId="5" type="noConversion"/>
  </si>
  <si>
    <t>TALC POWDER</t>
    <phoneticPr fontId="5" type="noConversion"/>
  </si>
  <si>
    <t>D</t>
  </si>
  <si>
    <t>C&amp;K 포장재</t>
    <phoneticPr fontId="5" type="noConversion"/>
  </si>
  <si>
    <t>SK샘플_화이트</t>
    <phoneticPr fontId="5" type="noConversion"/>
  </si>
  <si>
    <t>EBT SAND(SES) 1000KG</t>
    <phoneticPr fontId="5" type="noConversion"/>
  </si>
  <si>
    <t>SR GRIT</t>
    <phoneticPr fontId="5" type="noConversion"/>
  </si>
  <si>
    <t>K GRIT</t>
    <phoneticPr fontId="5" type="noConversion"/>
  </si>
  <si>
    <t>제이에이치</t>
    <phoneticPr fontId="9" type="noConversion"/>
  </si>
  <si>
    <t>부산바이오_그린 -90*90*90</t>
    <phoneticPr fontId="5" type="noConversion"/>
  </si>
  <si>
    <t>부산바이오_블루 BIO/BUFFER(인쇄분) -90*90*120</t>
    <phoneticPr fontId="5" type="noConversion"/>
  </si>
  <si>
    <t>부산바이오_블루 BIO/BUFFER(미인쇄분) -90*90*120</t>
    <phoneticPr fontId="5" type="noConversion"/>
  </si>
  <si>
    <t>시멘트 백 90*90*120</t>
    <phoneticPr fontId="5" type="noConversion"/>
  </si>
  <si>
    <t>서울축협사료 1톤 그린</t>
    <phoneticPr fontId="5" type="noConversion"/>
  </si>
  <si>
    <t>서울축협사료 1톤 베이지</t>
    <phoneticPr fontId="5" type="noConversion"/>
  </si>
  <si>
    <t>특급생석회분말(정상가)670*420*80</t>
    <phoneticPr fontId="5" type="noConversion"/>
  </si>
  <si>
    <t>12mm휠라코트(1000M)</t>
    <phoneticPr fontId="5" type="noConversion"/>
  </si>
  <si>
    <t>LD 0.04 50*95</t>
    <phoneticPr fontId="5" type="noConversion"/>
  </si>
  <si>
    <t>LD 0.03 50*95</t>
    <phoneticPr fontId="5" type="noConversion"/>
  </si>
  <si>
    <t>HD 0.03 50*85</t>
    <phoneticPr fontId="5" type="noConversion"/>
  </si>
  <si>
    <t>HD 0.03 55*115</t>
    <phoneticPr fontId="5" type="noConversion"/>
  </si>
  <si>
    <t>HD 0.03 45.5*105</t>
    <phoneticPr fontId="5" type="noConversion"/>
  </si>
  <si>
    <t>HD 0.03 (45+10)*95</t>
    <phoneticPr fontId="5" type="noConversion"/>
  </si>
  <si>
    <t>HD 0.03 (45+10)*103</t>
    <phoneticPr fontId="5" type="noConversion"/>
  </si>
  <si>
    <t>크라프트 페이퍼(80g) 1015</t>
    <phoneticPr fontId="5" type="noConversion"/>
  </si>
  <si>
    <t>1차</t>
    <phoneticPr fontId="5" type="noConversion"/>
  </si>
  <si>
    <t>Taiko semi extensible KRAFT PAPER</t>
    <phoneticPr fontId="5" type="noConversion"/>
  </si>
  <si>
    <t>단가(USD) :1,000
환율(USD) : 1,342</t>
    <phoneticPr fontId="5" type="noConversion"/>
  </si>
  <si>
    <r>
      <t xml:space="preserve">80g 825mm </t>
    </r>
    <r>
      <rPr>
        <sz val="9"/>
        <color theme="1"/>
        <rFont val="맑은 고딕"/>
        <family val="3"/>
        <charset val="129"/>
        <scheme val="minor"/>
      </rPr>
      <t>AP HIGH POROSITY SACK KRAFT PAPER IN REELS</t>
    </r>
    <phoneticPr fontId="5" type="noConversion"/>
  </si>
  <si>
    <t>단가(USD) :1230
환율(USD) : 1,287.60</t>
    <phoneticPr fontId="5" type="noConversion"/>
  </si>
  <si>
    <r>
      <t xml:space="preserve">80g 895mm </t>
    </r>
    <r>
      <rPr>
        <sz val="9"/>
        <color theme="1"/>
        <rFont val="맑은 고딕"/>
        <family val="3"/>
        <charset val="129"/>
        <scheme val="minor"/>
      </rPr>
      <t>AP HIGH POROSITY SACK KRAFT PAPER IN REELS</t>
    </r>
    <phoneticPr fontId="5" type="noConversion"/>
  </si>
  <si>
    <t>톤당 이윤</t>
    <phoneticPr fontId="5" type="noConversion"/>
  </si>
  <si>
    <t>통관비용/선시 및 부대비용</t>
    <phoneticPr fontId="5" type="noConversion"/>
  </si>
  <si>
    <t>신용장 개설 수수료</t>
    <phoneticPr fontId="5" type="noConversion"/>
  </si>
  <si>
    <t>알앤디(RND)</t>
    <phoneticPr fontId="5" type="noConversion"/>
  </si>
  <si>
    <t>백색무지-K/P sewing 무인쇄(3ply) 46*78 필름삽입</t>
    <phoneticPr fontId="5" type="noConversion"/>
  </si>
  <si>
    <t>동화포장매입</t>
    <phoneticPr fontId="5" type="noConversion"/>
  </si>
  <si>
    <t>코오롱환경서비스</t>
    <phoneticPr fontId="5" type="noConversion"/>
  </si>
  <si>
    <t>농협포대 20KG</t>
    <phoneticPr fontId="5" type="noConversion"/>
  </si>
  <si>
    <t xml:space="preserve">엔코 </t>
    <phoneticPr fontId="5" type="noConversion"/>
  </si>
  <si>
    <t>엔코 엔지니어링 플라스틱</t>
    <phoneticPr fontId="5" type="noConversion"/>
  </si>
  <si>
    <t>수지판비용</t>
    <phoneticPr fontId="5" type="noConversion"/>
  </si>
  <si>
    <t>신한철강산업</t>
    <phoneticPr fontId="5" type="noConversion"/>
  </si>
  <si>
    <t>백색테이프</t>
    <phoneticPr fontId="5" type="noConversion"/>
  </si>
  <si>
    <t>삼영포장 매입</t>
    <phoneticPr fontId="5" type="noConversion"/>
  </si>
  <si>
    <t>청색테이프</t>
    <phoneticPr fontId="5" type="noConversion"/>
  </si>
  <si>
    <t>엔지유 매입</t>
    <phoneticPr fontId="5" type="noConversion"/>
  </si>
  <si>
    <t>에셀</t>
    <phoneticPr fontId="5" type="noConversion"/>
  </si>
  <si>
    <t>LD 0.04 45*80</t>
    <phoneticPr fontId="5" type="noConversion"/>
  </si>
  <si>
    <t>동해필름 매입</t>
    <phoneticPr fontId="5" type="noConversion"/>
  </si>
  <si>
    <t>㈜산수원</t>
    <phoneticPr fontId="5" type="noConversion"/>
  </si>
  <si>
    <t>NPK PLUS2KG</t>
    <phoneticPr fontId="5" type="noConversion"/>
  </si>
  <si>
    <t>서브원(팜한농)
(역발행)</t>
    <phoneticPr fontId="5" type="noConversion"/>
  </si>
  <si>
    <t>SPEED-PRO</t>
    <phoneticPr fontId="5" type="noConversion"/>
  </si>
  <si>
    <t>종사업장번호 8번</t>
    <phoneticPr fontId="5" type="noConversion"/>
  </si>
  <si>
    <t>에코 솔 2KG</t>
    <phoneticPr fontId="5" type="noConversion"/>
  </si>
  <si>
    <t>팜한농 1KG 유백 알루미늄</t>
    <phoneticPr fontId="5" type="noConversion"/>
  </si>
  <si>
    <t>착색엔(5-15-35)1kg</t>
    <phoneticPr fontId="5" type="noConversion"/>
  </si>
  <si>
    <t>헬리퍼트 1KG 110/190*290</t>
    <phoneticPr fontId="5" type="noConversion"/>
  </si>
  <si>
    <t xml:space="preserve">헬리퍼트 2KG </t>
    <phoneticPr fontId="5" type="noConversion"/>
  </si>
  <si>
    <t>NPK PLUS(1KG)12-2-40</t>
    <phoneticPr fontId="5" type="noConversion"/>
  </si>
  <si>
    <t>NPK PLUS(2KG)</t>
    <phoneticPr fontId="5" type="noConversion"/>
  </si>
  <si>
    <t>ECO-SOL 3-15-43</t>
    <phoneticPr fontId="5" type="noConversion"/>
  </si>
  <si>
    <t>ECO-SOL 19-18-19</t>
    <phoneticPr fontId="5" type="noConversion"/>
  </si>
  <si>
    <t>ECO-SOL 25-9-18</t>
    <phoneticPr fontId="5" type="noConversion"/>
  </si>
  <si>
    <t>ECO-SOL 12-12-12</t>
    <phoneticPr fontId="5" type="noConversion"/>
  </si>
  <si>
    <t>S-Feed 11-6-21 190*290</t>
    <phoneticPr fontId="5" type="noConversion"/>
  </si>
  <si>
    <t>최소수량 30,000장
기존단가 290원/3,000장 진행시 단가 483원</t>
    <phoneticPr fontId="5" type="noConversion"/>
  </si>
  <si>
    <t>S-Feed 13-7-21</t>
    <phoneticPr fontId="5" type="noConversion"/>
  </si>
  <si>
    <t>S-Feed 9-11-37 (아로마벨브 부착)</t>
    <phoneticPr fontId="5" type="noConversion"/>
  </si>
  <si>
    <t>S-Feed 9-11-37 (아로마벨브 미부착)</t>
    <phoneticPr fontId="5" type="noConversion"/>
  </si>
  <si>
    <t>S-Feed 19-19-19 (아로마벨브 부착)</t>
    <phoneticPr fontId="5" type="noConversion"/>
  </si>
  <si>
    <t>S-Feed 19-19-19 (아로마벨브 미부착)</t>
    <phoneticPr fontId="5" type="noConversion"/>
  </si>
  <si>
    <t>S-Feed 25-8-16</t>
    <phoneticPr fontId="5" type="noConversion"/>
  </si>
  <si>
    <t>AL S-FEED 14-12-20+1+5CaO 10KG</t>
    <phoneticPr fontId="5" type="noConversion"/>
  </si>
  <si>
    <t>AL S-FEED 13-7-21+8CaO 10KG</t>
    <phoneticPr fontId="5" type="noConversion"/>
  </si>
  <si>
    <t>동판비(8개 품목)</t>
    <phoneticPr fontId="5" type="noConversion"/>
  </si>
  <si>
    <t>인쇄동판비</t>
    <phoneticPr fontId="5" type="noConversion"/>
  </si>
  <si>
    <t>종사업장번호 X</t>
    <phoneticPr fontId="5" type="noConversion"/>
  </si>
  <si>
    <t>미래 C&amp;G</t>
    <phoneticPr fontId="5" type="noConversion"/>
  </si>
  <si>
    <t>250KG 무인쇄(유진통상) 105*105*50</t>
    <phoneticPr fontId="5" type="noConversion"/>
  </si>
  <si>
    <t>라이스딜러</t>
    <phoneticPr fontId="5" type="noConversion"/>
  </si>
  <si>
    <t>봉제지대 2ply (41.5+7.5)88</t>
    <phoneticPr fontId="5" type="noConversion"/>
  </si>
  <si>
    <t>샘플</t>
    <phoneticPr fontId="5" type="noConversion"/>
  </si>
  <si>
    <t>금강케미칼
㈜금강 으로발행</t>
    <phoneticPr fontId="5" type="noConversion"/>
  </si>
  <si>
    <t>엔지니어링 플라스틱 500KG(그린) 90*90*113</t>
    <phoneticPr fontId="5" type="noConversion"/>
  </si>
  <si>
    <t>유진 매입</t>
    <phoneticPr fontId="5" type="noConversion"/>
  </si>
  <si>
    <t>엔지니어링 플라스틱 500KG(그린) 2차</t>
    <phoneticPr fontId="5" type="noConversion"/>
  </si>
  <si>
    <t>엔지니어링 플라스틱 500KG(베이지)</t>
    <phoneticPr fontId="5" type="noConversion"/>
  </si>
  <si>
    <t xml:space="preserve">유진매입 </t>
    <phoneticPr fontId="5" type="noConversion"/>
  </si>
  <si>
    <t>800KG 무인쇄(라이너) 92*92*125</t>
    <phoneticPr fontId="5" type="noConversion"/>
  </si>
  <si>
    <t>일반무지(AK) 55*85_LD 0.06 54.5*88 삽입</t>
    <phoneticPr fontId="5" type="noConversion"/>
  </si>
  <si>
    <r>
      <t>일반무지(AK) 55*85_LD 0.06 54.5*83</t>
    </r>
    <r>
      <rPr>
        <b/>
        <sz val="11"/>
        <color theme="1"/>
        <rFont val="맑은 고딕"/>
        <family val="3"/>
        <charset val="129"/>
        <scheme val="minor"/>
      </rPr>
      <t xml:space="preserve"> (양면테이프작업)</t>
    </r>
    <phoneticPr fontId="5" type="noConversion"/>
  </si>
  <si>
    <t>양면테이프작업</t>
    <phoneticPr fontId="5" type="noConversion"/>
  </si>
  <si>
    <t>신진팩매입</t>
    <phoneticPr fontId="5" type="noConversion"/>
  </si>
  <si>
    <t>신진팩매입</t>
  </si>
  <si>
    <t>LD 0.04*60*115 대광화학 매입</t>
    <phoneticPr fontId="5" type="noConversion"/>
  </si>
  <si>
    <t>LD 0.07 54.5*88 동해 매입</t>
    <phoneticPr fontId="5" type="noConversion"/>
  </si>
  <si>
    <t>에이치에스케미칼</t>
    <phoneticPr fontId="5" type="noConversion"/>
  </si>
  <si>
    <t>비피케미칼</t>
    <phoneticPr fontId="5" type="noConversion"/>
  </si>
  <si>
    <t>일반무지(EK) (46+10)85 네오플러스 매입</t>
    <phoneticPr fontId="5" type="noConversion"/>
  </si>
  <si>
    <t>웰그린세제</t>
    <phoneticPr fontId="5" type="noConversion"/>
  </si>
  <si>
    <t>HD 0.03 45*82 동해필름 매입</t>
    <phoneticPr fontId="5" type="noConversion"/>
  </si>
  <si>
    <t>디제이플라텍</t>
    <phoneticPr fontId="5" type="noConversion"/>
  </si>
  <si>
    <t>GMT 500KG (필름X)</t>
    <phoneticPr fontId="5" type="noConversion"/>
  </si>
  <si>
    <t>500KG 무인쇄 베이지(라이너있음)</t>
    <phoneticPr fontId="5" type="noConversion"/>
  </si>
  <si>
    <t>500KG 무인쇄 베이지(라이너있음)_2차발행</t>
    <phoneticPr fontId="5" type="noConversion"/>
  </si>
  <si>
    <t>500KG 무인쇄 베이지(라이너X)</t>
    <phoneticPr fontId="5" type="noConversion"/>
  </si>
  <si>
    <t>800KG 무인쇄 베이지(라이너있음)</t>
    <phoneticPr fontId="5" type="noConversion"/>
  </si>
  <si>
    <t>800KG 무인쇄 베이지(라이너있음)_2차</t>
    <phoneticPr fontId="5" type="noConversion"/>
  </si>
  <si>
    <t>2차발행</t>
    <phoneticPr fontId="5" type="noConversion"/>
  </si>
  <si>
    <t>더보케이블</t>
    <phoneticPr fontId="5" type="noConversion"/>
  </si>
  <si>
    <t>L/M ROLL(청색) 200mm*300m</t>
    <phoneticPr fontId="5" type="noConversion"/>
  </si>
  <si>
    <t>피엔씨테크</t>
    <phoneticPr fontId="5" type="noConversion"/>
  </si>
  <si>
    <t>500KG 무인쇄_유진매입</t>
    <phoneticPr fontId="5" type="noConversion"/>
  </si>
  <si>
    <t>로얄종합수지</t>
    <phoneticPr fontId="5" type="noConversion"/>
  </si>
  <si>
    <t xml:space="preserve">일반무지(AK) (45+10)85 </t>
    <phoneticPr fontId="5" type="noConversion"/>
  </si>
  <si>
    <t xml:space="preserve">LOTOREN 45*10*85 </t>
    <phoneticPr fontId="5" type="noConversion"/>
  </si>
  <si>
    <t>로얄종합수지 500KG_화이트그린 90*90*115 유진매입</t>
    <phoneticPr fontId="5" type="noConversion"/>
  </si>
  <si>
    <t>500KG 무인쇄 베이지 출고</t>
    <phoneticPr fontId="5" type="noConversion"/>
  </si>
  <si>
    <t>로얄종합수지 700KG_베이지 94*94*130 유진매입</t>
    <phoneticPr fontId="5" type="noConversion"/>
  </si>
  <si>
    <t>오션폴리머</t>
    <phoneticPr fontId="5" type="noConversion"/>
  </si>
  <si>
    <t>오션 HDPE (43+14)87완 원림매입</t>
    <phoneticPr fontId="5" type="noConversion"/>
  </si>
  <si>
    <t>현성플라스틱</t>
    <phoneticPr fontId="5" type="noConversion"/>
  </si>
  <si>
    <t>500kg 무인쇄 베이지 라이너O</t>
    <phoneticPr fontId="5" type="noConversion"/>
  </si>
  <si>
    <t>엔지니어링 플라스틱 500KG(그린)</t>
    <phoneticPr fontId="5" type="noConversion"/>
  </si>
  <si>
    <t>일반무지(AK) (45+10)85 신진매입</t>
    <phoneticPr fontId="5" type="noConversion"/>
  </si>
  <si>
    <t>기존단가 360원/ 5,000장 진행시 350원</t>
    <phoneticPr fontId="5" type="noConversion"/>
  </si>
  <si>
    <t>일반무지(AK)_LD 0.03 (46+10)105 삽입 (45+10)85 원림매입</t>
    <phoneticPr fontId="5" type="noConversion"/>
  </si>
  <si>
    <t>현성플라스틱_HIPS 명품마대 매입</t>
    <phoneticPr fontId="5" type="noConversion"/>
  </si>
  <si>
    <t>현성플라스틱_ABS (44+11)*80 신진팩매입</t>
    <phoneticPr fontId="5" type="noConversion"/>
  </si>
  <si>
    <t>100장씩 밴딩작업</t>
    <phoneticPr fontId="5" type="noConversion"/>
  </si>
  <si>
    <t>현성플라스틱_HIPS 2차 명품마대 매입</t>
    <phoneticPr fontId="5" type="noConversion"/>
  </si>
  <si>
    <t>pp사</t>
    <phoneticPr fontId="5" type="noConversion"/>
  </si>
  <si>
    <t>수지판2조</t>
    <phoneticPr fontId="5" type="noConversion"/>
  </si>
  <si>
    <t>한국석고</t>
    <phoneticPr fontId="5" type="noConversion"/>
  </si>
  <si>
    <t>한국석고 연석고 BAG 42*72</t>
    <phoneticPr fontId="5" type="noConversion"/>
  </si>
  <si>
    <t>코락 70(백상지) _ 460*720 _ LD 0.1 45.5*70(B/S)</t>
    <phoneticPr fontId="5" type="noConversion"/>
  </si>
  <si>
    <t>MOQ 10,000장 가능</t>
    <phoneticPr fontId="5" type="noConversion"/>
  </si>
  <si>
    <t>한국석고 무인쇄(백상지) 46*77_LD 0.05 46*77(B급지2장 동시봉제)</t>
    <phoneticPr fontId="5" type="noConversion"/>
  </si>
  <si>
    <t>백 단가에 면사 2콘 포함/신덕산업매입</t>
    <phoneticPr fontId="5" type="noConversion"/>
  </si>
  <si>
    <t>면사(KG)</t>
    <phoneticPr fontId="5" type="noConversion"/>
  </si>
  <si>
    <t>주름지 70mm_화이트</t>
    <phoneticPr fontId="5" type="noConversion"/>
  </si>
  <si>
    <t>씨카코리아</t>
    <phoneticPr fontId="5" type="noConversion"/>
  </si>
  <si>
    <t>500KG 무인쇄 베이지_라이너O</t>
    <phoneticPr fontId="5" type="noConversion"/>
  </si>
  <si>
    <t>우성2공장</t>
    <phoneticPr fontId="5" type="noConversion"/>
  </si>
  <si>
    <t>500KG 무인쇄 베이지_라이너O (2차발행)</t>
    <phoneticPr fontId="5" type="noConversion"/>
  </si>
  <si>
    <t xml:space="preserve">유앤미
(세금계산서 1장으로 발행해달라고함)
</t>
    <phoneticPr fontId="5" type="noConversion"/>
  </si>
  <si>
    <t>ECOZEN BAG(25KG) 51*85</t>
    <phoneticPr fontId="5" type="noConversion"/>
  </si>
  <si>
    <t>COPOLYSTER BAG(25KG) 51*85</t>
    <phoneticPr fontId="5" type="noConversion"/>
  </si>
  <si>
    <t>COPOLYSTER BAG(25KG) 51*85 (한성 운반비 제외)</t>
    <phoneticPr fontId="5" type="noConversion"/>
  </si>
  <si>
    <t>ECOZEN BAG(25KG)-AL필름삽입 51*85</t>
    <phoneticPr fontId="5" type="noConversion"/>
  </si>
  <si>
    <t>COPOLYSTER BAG(25KG)-AL필름삽입 51*85</t>
    <phoneticPr fontId="5" type="noConversion"/>
  </si>
  <si>
    <t>COPOLYSTER BAG(25KG)-AL필름삽입 51*85(불량)</t>
    <phoneticPr fontId="5" type="noConversion"/>
  </si>
  <si>
    <t>ECOZEN BAG(25KG)-AL필름삽입 51*85(불량)</t>
    <phoneticPr fontId="5" type="noConversion"/>
  </si>
  <si>
    <t>sk케미칼 DMT 700KG</t>
    <phoneticPr fontId="5" type="noConversion"/>
  </si>
  <si>
    <t>sk케미칼 DMT 500KG</t>
    <phoneticPr fontId="5" type="noConversion"/>
  </si>
  <si>
    <t>SKY PEL(50.5*93)</t>
    <phoneticPr fontId="5" type="noConversion"/>
  </si>
  <si>
    <r>
      <t>24일 기준으로 마감하기 (24일 이후 출고건은 다음달로 이월)-</t>
    </r>
    <r>
      <rPr>
        <b/>
        <u/>
        <sz val="11"/>
        <color theme="1"/>
        <rFont val="맑은 고딕"/>
        <family val="3"/>
        <charset val="129"/>
        <scheme val="minor"/>
      </rPr>
      <t>대표님성함 : 조영주 변경 (계산서발행참고!)</t>
    </r>
    <phoneticPr fontId="5" type="noConversion"/>
  </si>
  <si>
    <r>
      <t xml:space="preserve">삼일건재종합상사
</t>
    </r>
    <r>
      <rPr>
        <b/>
        <sz val="9"/>
        <color rgb="FFFF0000"/>
        <rFont val="맑은 고딕"/>
        <family val="3"/>
        <charset val="129"/>
        <scheme val="minor"/>
      </rPr>
      <t>- 주름지 성호폴리텍 으로 보내자!!!!!!</t>
    </r>
    <phoneticPr fontId="5" type="noConversion"/>
  </si>
  <si>
    <t>면사 백색</t>
    <phoneticPr fontId="5" type="noConversion"/>
  </si>
  <si>
    <t>2차</t>
    <phoneticPr fontId="5" type="noConversion"/>
  </si>
  <si>
    <t>주름지 70mm -오피아이매입</t>
    <phoneticPr fontId="5" type="noConversion"/>
  </si>
  <si>
    <t>주름지 70mm -원림매입</t>
    <phoneticPr fontId="5" type="noConversion"/>
  </si>
  <si>
    <t>주름지 70mm(백색)</t>
    <phoneticPr fontId="5" type="noConversion"/>
  </si>
  <si>
    <t>태양포장기계</t>
    <phoneticPr fontId="5" type="noConversion"/>
  </si>
  <si>
    <t>푸드벨(AK) (40+17)80</t>
    <phoneticPr fontId="5" type="noConversion"/>
  </si>
  <si>
    <t>에스피메탈</t>
    <phoneticPr fontId="5" type="noConversion"/>
  </si>
  <si>
    <t>800KG 무인쇄_베이지(유진통상) 92*92*125</t>
    <phoneticPr fontId="5" type="noConversion"/>
  </si>
  <si>
    <t>지팜</t>
    <phoneticPr fontId="5" type="noConversion"/>
  </si>
  <si>
    <t>GENPLA(AK) 55*85_AL(545*820)양면테이프</t>
    <phoneticPr fontId="5" type="noConversion"/>
  </si>
  <si>
    <t>GENPLA(AK) 무인쇄 55*85_AL(545*820)양면테이프</t>
    <phoneticPr fontId="5" type="noConversion"/>
  </si>
  <si>
    <t>GENPLA(AK) 55*85_AL 미삽입</t>
    <phoneticPr fontId="5" type="noConversion"/>
  </si>
  <si>
    <t>GENPLA(AK) (45+10)85_AL 미삽입-(45+10)78 사이즈로 변경</t>
    <phoneticPr fontId="5" type="noConversion"/>
  </si>
  <si>
    <t>(45+10)78or80가능함</t>
    <phoneticPr fontId="5" type="noConversion"/>
  </si>
  <si>
    <t>GENPLA(AK) 무인쇄(45+10)78_AL 미삽입</t>
    <phoneticPr fontId="5" type="noConversion"/>
  </si>
  <si>
    <t>GENPLA(AK) 무인쇄 55*78_AL(545*780) 양면테이프</t>
    <phoneticPr fontId="5" type="noConversion"/>
  </si>
  <si>
    <r>
      <t>GENPLA(AK) 인쇄55*85 _LD 0.15 54.5*82</t>
    </r>
    <r>
      <rPr>
        <b/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양면테이프</t>
    </r>
    <phoneticPr fontId="5" type="noConversion"/>
  </si>
  <si>
    <t>GENPLA(AK) 무인쇄55*85_0.15 54.5*82 양면테이프</t>
    <phoneticPr fontId="5" type="noConversion"/>
  </si>
  <si>
    <t>GENPLA(AK) 무인쇄 55*85</t>
    <phoneticPr fontId="5" type="noConversion"/>
  </si>
  <si>
    <t>엠포피드
-수량 확인을 위해 팔레트에 수량 라벨 팔레트에 부착 후 출고</t>
    <phoneticPr fontId="5" type="noConversion"/>
  </si>
  <si>
    <t>명품해산어분말48</t>
    <phoneticPr fontId="5" type="noConversion"/>
  </si>
  <si>
    <t>명품해산어분말60</t>
    <phoneticPr fontId="5" type="noConversion"/>
  </si>
  <si>
    <t>명품해산어분말60 이코노</t>
    <phoneticPr fontId="5" type="noConversion"/>
  </si>
  <si>
    <t>명품해산어분말60 이코노_변경전도안</t>
    <phoneticPr fontId="5" type="noConversion"/>
  </si>
  <si>
    <t>초심 파워 해산어분말</t>
    <phoneticPr fontId="5" type="noConversion"/>
  </si>
  <si>
    <t>사조동아원 넵튠원 20KG (41+7.5)86(91) (백상지)</t>
    <phoneticPr fontId="5" type="noConversion"/>
  </si>
  <si>
    <t>엠포피드 톤백</t>
    <phoneticPr fontId="5" type="noConversion"/>
  </si>
  <si>
    <t>대한사료FL분말60 (41+7.5)86(91) (황색지 AK)</t>
    <phoneticPr fontId="5" type="noConversion"/>
  </si>
  <si>
    <t>대한사료FL분말48 (41+7.5)86(91) (황색지 AK)</t>
    <phoneticPr fontId="5" type="noConversion"/>
  </si>
  <si>
    <t>앤피드 코어업파우더 (41+7.5)86(91) (황색지 AK) (화이트지 ?)</t>
    <phoneticPr fontId="5" type="noConversion"/>
  </si>
  <si>
    <t>수지판변경 (사조동아원 성분표 수정)</t>
    <phoneticPr fontId="5" type="noConversion"/>
  </si>
  <si>
    <t>사조동아원</t>
    <phoneticPr fontId="5" type="noConversion"/>
  </si>
  <si>
    <t>수지판(엠포피드 사조동아원 매출건)</t>
    <phoneticPr fontId="5" type="noConversion"/>
  </si>
  <si>
    <t>콩코드상사</t>
    <phoneticPr fontId="5" type="noConversion"/>
  </si>
  <si>
    <t>ARLA 백 (45+15)100 원림매입</t>
    <phoneticPr fontId="5" type="noConversion"/>
  </si>
  <si>
    <t>일반무지(AK) (45+15)100 원림매입</t>
    <phoneticPr fontId="5" type="noConversion"/>
  </si>
  <si>
    <t>알케이</t>
    <phoneticPr fontId="5" type="noConversion"/>
  </si>
  <si>
    <t>2공장 납품</t>
    <phoneticPr fontId="5" type="noConversion"/>
  </si>
  <si>
    <t>보광폴리머</t>
    <phoneticPr fontId="5" type="noConversion"/>
  </si>
  <si>
    <t>한성으로 직접가지러감</t>
    <phoneticPr fontId="5" type="noConversion"/>
  </si>
  <si>
    <t>25KG 알루미늄_2차</t>
    <phoneticPr fontId="5" type="noConversion"/>
  </si>
  <si>
    <t>동화포장</t>
    <phoneticPr fontId="5" type="noConversion"/>
  </si>
  <si>
    <t>크라프트 페이퍼(80g) 1015 (2/4)</t>
    <phoneticPr fontId="5" type="noConversion"/>
  </si>
  <si>
    <t>니피폴리머</t>
    <phoneticPr fontId="5" type="noConversion"/>
  </si>
  <si>
    <t>500KG 무인쇄 베이지 라이너있음</t>
    <phoneticPr fontId="5" type="noConversion"/>
  </si>
  <si>
    <t>800KG 무인쇄 베이지 라이너있음</t>
    <phoneticPr fontId="5" type="noConversion"/>
  </si>
  <si>
    <t>800KG 무인쇄 베이지 라이너x</t>
    <phoneticPr fontId="5" type="noConversion"/>
  </si>
  <si>
    <t>500KG 무인쇄 베이지 라이너X</t>
    <phoneticPr fontId="5" type="noConversion"/>
  </si>
  <si>
    <t>굿폴리머</t>
    <phoneticPr fontId="5" type="noConversion"/>
  </si>
  <si>
    <t>동진엔프라</t>
    <phoneticPr fontId="5" type="noConversion"/>
  </si>
  <si>
    <t>800KG 무인쇄 베이지 라이너</t>
    <phoneticPr fontId="5" type="noConversion"/>
  </si>
  <si>
    <t>누리종합상사 = 누리</t>
    <phoneticPr fontId="5" type="noConversion"/>
  </si>
  <si>
    <t>옐로우테이프</t>
    <phoneticPr fontId="5" type="noConversion"/>
  </si>
  <si>
    <t>옐로우테이프(190M)</t>
    <phoneticPr fontId="5" type="noConversion"/>
  </si>
  <si>
    <t>적색테이프</t>
    <phoneticPr fontId="5" type="noConversion"/>
  </si>
  <si>
    <t>도일에코텍</t>
    <phoneticPr fontId="5" type="noConversion"/>
  </si>
  <si>
    <t>25KG 무인쇄 알루미늄</t>
    <phoneticPr fontId="5" type="noConversion"/>
  </si>
  <si>
    <t>비아이케미칼 화륜(AK) 51*85 _AL</t>
    <phoneticPr fontId="5" type="noConversion"/>
  </si>
  <si>
    <t>25KG 도일에코텍(AK) 51*85 _AL</t>
    <phoneticPr fontId="5" type="noConversion"/>
  </si>
  <si>
    <t>TOGREEN(2022년 51*85사이즈변경)</t>
    <phoneticPr fontId="5" type="noConversion"/>
  </si>
  <si>
    <t>1000KG 알루미늄 톤백</t>
    <phoneticPr fontId="5" type="noConversion"/>
  </si>
  <si>
    <t>부성 600KG(불량)</t>
    <phoneticPr fontId="5" type="noConversion"/>
  </si>
  <si>
    <t>대하 500KG(불량)</t>
    <phoneticPr fontId="5" type="noConversion"/>
  </si>
  <si>
    <t>무인쇄 500KG _베이지</t>
    <phoneticPr fontId="5" type="noConversion"/>
  </si>
  <si>
    <t>이펙</t>
    <phoneticPr fontId="5" type="noConversion"/>
  </si>
  <si>
    <t>TSC 알루미늄</t>
    <phoneticPr fontId="5" type="noConversion"/>
  </si>
  <si>
    <t>택배비 7천원은 부가세 없이 받음</t>
    <phoneticPr fontId="5" type="noConversion"/>
  </si>
  <si>
    <t>청광신소재</t>
    <phoneticPr fontId="5" type="noConversion"/>
  </si>
  <si>
    <t>무인쇄 화이트 코팅백 90*90*125</t>
    <phoneticPr fontId="5" type="noConversion"/>
  </si>
  <si>
    <t>코멧네트워크</t>
    <phoneticPr fontId="5" type="noConversion"/>
  </si>
  <si>
    <t>플랙스코</t>
    <phoneticPr fontId="5" type="noConversion"/>
  </si>
  <si>
    <t>500KG 무인쇄 베이지 라이너없음</t>
    <phoneticPr fontId="5" type="noConversion"/>
  </si>
  <si>
    <t>500kg 무인쇄 그린</t>
    <phoneticPr fontId="5" type="noConversion"/>
  </si>
  <si>
    <t>대하 DECHLEM(영문) (43+15)89</t>
    <phoneticPr fontId="5" type="noConversion"/>
  </si>
  <si>
    <t xml:space="preserve">대하 TECHLEN(대)_폴란드용 (43+15)87.5 </t>
    <phoneticPr fontId="5" type="noConversion"/>
  </si>
  <si>
    <t xml:space="preserve">대하 TECHLEN(대) (43+15)87.5 </t>
    <phoneticPr fontId="5" type="noConversion"/>
  </si>
  <si>
    <t>대하 TECHLEN(소) (45+10)82.5</t>
    <phoneticPr fontId="5" type="noConversion"/>
  </si>
  <si>
    <t>무인쇄(EK) 60*85</t>
    <phoneticPr fontId="5" type="noConversion"/>
  </si>
  <si>
    <t>무인쇄(AK) (45+10)85</t>
    <phoneticPr fontId="5" type="noConversion"/>
  </si>
  <si>
    <t>무인쇄(EK) 55*85(LD 0.04 54.5*90삽입)</t>
    <phoneticPr fontId="5" type="noConversion"/>
  </si>
  <si>
    <t>SM TECH(EK) 54*83(LD 0.06 53.5*82.5 일반삽입)</t>
    <phoneticPr fontId="5" type="noConversion"/>
  </si>
  <si>
    <t>무상지급</t>
    <phoneticPr fontId="5" type="noConversion"/>
  </si>
  <si>
    <t>대하 택배비</t>
    <phoneticPr fontId="5" type="noConversion"/>
  </si>
  <si>
    <t>한려엔쵸비</t>
    <phoneticPr fontId="5" type="noConversion"/>
  </si>
  <si>
    <t>행복푸드</t>
    <phoneticPr fontId="5" type="noConversion"/>
  </si>
  <si>
    <t>부직포백 20*25(300pcs/box)</t>
    <phoneticPr fontId="5" type="noConversion"/>
  </si>
  <si>
    <t>부직포백 35*40(300pcs/box)-끈있음</t>
    <phoneticPr fontId="5" type="noConversion"/>
  </si>
  <si>
    <t>부직포백 35*40(300pcs/box)-끈없음</t>
    <phoneticPr fontId="5" type="noConversion"/>
  </si>
  <si>
    <t>에프앤에프식품</t>
    <phoneticPr fontId="5" type="noConversion"/>
  </si>
  <si>
    <t>건일품</t>
    <phoneticPr fontId="5" type="noConversion"/>
  </si>
  <si>
    <t>부직포백 35*40(300pcs/box)</t>
    <phoneticPr fontId="5" type="noConversion"/>
  </si>
  <si>
    <t>신불산 사격장</t>
    <phoneticPr fontId="5" type="noConversion"/>
  </si>
  <si>
    <t>농협 RCP BAG 90*90*150</t>
    <phoneticPr fontId="5" type="noConversion"/>
  </si>
  <si>
    <t>그린필드</t>
    <phoneticPr fontId="5" type="noConversion"/>
  </si>
  <si>
    <t>케이에스씨</t>
    <phoneticPr fontId="5" type="noConversion"/>
  </si>
  <si>
    <t>비엠테크</t>
    <phoneticPr fontId="5" type="noConversion"/>
  </si>
  <si>
    <t>유니온폴리켐</t>
    <phoneticPr fontId="5" type="noConversion"/>
  </si>
  <si>
    <t>오성켐스</t>
    <phoneticPr fontId="5" type="noConversion"/>
  </si>
  <si>
    <t>예안케미칼</t>
    <phoneticPr fontId="5" type="noConversion"/>
  </si>
  <si>
    <t>LD 0.05 (45+10)*105</t>
    <phoneticPr fontId="5" type="noConversion"/>
  </si>
  <si>
    <t>세원 EPC &amp; KS TECH 2공장</t>
    <phoneticPr fontId="5" type="noConversion"/>
  </si>
  <si>
    <t>무인쇄 알루미늄(AK) 51*85 _AL(504*827)</t>
    <phoneticPr fontId="5" type="noConversion"/>
  </si>
  <si>
    <t>무인쇄 알루미늄(AK) 55*82 _AL(545*800)</t>
    <phoneticPr fontId="5" type="noConversion"/>
  </si>
  <si>
    <t>무인쇄(AK) 51*85_LD 0.08 505*830 양면테이프</t>
    <phoneticPr fontId="5" type="noConversion"/>
  </si>
  <si>
    <t>무인쇄(AK) 55*82 LD 0.08 545*800 양면테이프</t>
    <phoneticPr fontId="5" type="noConversion"/>
  </si>
  <si>
    <t>세원마대산업</t>
    <phoneticPr fontId="5" type="noConversion"/>
  </si>
  <si>
    <t>한양사료유통(EK)52*77</t>
    <phoneticPr fontId="5" type="noConversion"/>
  </si>
  <si>
    <t>한양사료유통(EK) (50+10)83</t>
    <phoneticPr fontId="5" type="noConversion"/>
  </si>
  <si>
    <t>수지</t>
    <phoneticPr fontId="5" type="noConversion"/>
  </si>
  <si>
    <t>에스팩(코오롱인더스트리 구미공장)</t>
    <phoneticPr fontId="5" type="noConversion"/>
  </si>
  <si>
    <t>25KG 무인쇄 알루미늄 51*85</t>
    <phoneticPr fontId="5" type="noConversion"/>
  </si>
  <si>
    <t>이노페트 화이트</t>
    <phoneticPr fontId="5" type="noConversion"/>
  </si>
  <si>
    <t>홍익 E&amp;I</t>
    <phoneticPr fontId="5" type="noConversion"/>
  </si>
  <si>
    <t>친환경고무칲(100*100*130)</t>
    <phoneticPr fontId="5" type="noConversion"/>
  </si>
  <si>
    <t>SK케미칼
(역발행)</t>
    <phoneticPr fontId="9" type="noConversion"/>
  </si>
  <si>
    <t>SKY TRA</t>
    <phoneticPr fontId="5" type="noConversion"/>
  </si>
  <si>
    <t>SKY PURA</t>
    <phoneticPr fontId="5" type="noConversion"/>
  </si>
  <si>
    <t>BULK BAG(850KG)</t>
    <phoneticPr fontId="5" type="noConversion"/>
  </si>
  <si>
    <t>㈜미가
(미가폴리텍)</t>
    <phoneticPr fontId="9" type="noConversion"/>
  </si>
  <si>
    <t>SKY TRA_AL</t>
    <phoneticPr fontId="5" type="noConversion"/>
  </si>
  <si>
    <t>STARPLA(녹색)(AK) (43.5+15)86</t>
    <phoneticPr fontId="5" type="noConversion"/>
  </si>
  <si>
    <t>MIKAIN(군청)(AK) (43.5+15)86</t>
    <phoneticPr fontId="5" type="noConversion"/>
  </si>
  <si>
    <t>금호 엔지니어링 플라스틱(AK) 51*85_AL</t>
    <phoneticPr fontId="5" type="noConversion"/>
  </si>
  <si>
    <t>MIKAIN(적색)(AK) 53*79_LD 0.14 52.5*80</t>
    <phoneticPr fontId="5" type="noConversion"/>
  </si>
  <si>
    <t>MIKAIN(청)51*85_AL</t>
    <phoneticPr fontId="5" type="noConversion"/>
  </si>
  <si>
    <t>GS칼텍스
_진주공장</t>
    <phoneticPr fontId="9" type="noConversion"/>
  </si>
  <si>
    <t>GS칼텍스 1000KG(알루미늄삽입) 104*104*165</t>
    <phoneticPr fontId="5" type="noConversion"/>
  </si>
  <si>
    <t>GS칼텍스 500KG(알루미늄삽입) 93*93*125</t>
    <phoneticPr fontId="5" type="noConversion"/>
  </si>
  <si>
    <t>GS칼텍스 500KG(알루미늄삽입) 93*93*125 2차</t>
    <phoneticPr fontId="5" type="noConversion"/>
  </si>
  <si>
    <t>이노폴리텍㈜</t>
    <phoneticPr fontId="9" type="noConversion"/>
  </si>
  <si>
    <t>GS칼텍스용 1000KG(알루미늄삽입) 104*104*165</t>
    <phoneticPr fontId="5" type="noConversion"/>
  </si>
  <si>
    <t>GS칼텍스용 500KG(알루미늄삽입) 93*93*125</t>
    <phoneticPr fontId="5" type="noConversion"/>
  </si>
  <si>
    <t>GS칼텍스용 500KG(알루미늄삽입) 93*93*125 2차</t>
    <phoneticPr fontId="5" type="noConversion"/>
  </si>
  <si>
    <t>서진바이오텍</t>
    <phoneticPr fontId="5" type="noConversion"/>
  </si>
  <si>
    <t>서진바이오텍 25KG 원림매입</t>
    <phoneticPr fontId="9" type="noConversion"/>
  </si>
  <si>
    <t>피엔씨케미컬</t>
    <phoneticPr fontId="5" type="noConversion"/>
  </si>
  <si>
    <t>일반무지(AK) 51*85_AL삽입</t>
    <phoneticPr fontId="5" type="noConversion"/>
  </si>
  <si>
    <t>일반무지(AK) 51*85_AL삽입 (2차)</t>
    <phoneticPr fontId="9" type="noConversion"/>
  </si>
  <si>
    <t>500KG 알루미늄 톤백</t>
  </si>
  <si>
    <t>대상주식회사</t>
    <phoneticPr fontId="5" type="noConversion"/>
  </si>
  <si>
    <t>일반무지(AK) 51*85_AL삽입</t>
    <phoneticPr fontId="9" type="noConversion"/>
  </si>
  <si>
    <t>행복나래(역발행)</t>
    <phoneticPr fontId="5" type="noConversion"/>
  </si>
  <si>
    <t>25kg무인쇄알루미늄</t>
    <phoneticPr fontId="5" type="noConversion"/>
  </si>
  <si>
    <t>안코바이오
플라스틱스</t>
    <phoneticPr fontId="5" type="noConversion"/>
  </si>
  <si>
    <t>무인쇄(AK) 51*85_AL삽입</t>
    <phoneticPr fontId="9" type="noConversion"/>
  </si>
  <si>
    <t>㈜ 봉화산업</t>
    <phoneticPr fontId="5" type="noConversion"/>
  </si>
  <si>
    <t xml:space="preserve">무인쇄(AK) 55*85_필름 HD 0.04 55*115 </t>
    <phoneticPr fontId="9" type="noConversion"/>
  </si>
  <si>
    <t>근일산업</t>
    <phoneticPr fontId="5" type="noConversion"/>
  </si>
  <si>
    <t>TIO2-70</t>
    <phoneticPr fontId="9" type="noConversion"/>
  </si>
  <si>
    <t>(품명O)</t>
    <phoneticPr fontId="5" type="noConversion"/>
  </si>
  <si>
    <t>M/B</t>
    <phoneticPr fontId="5" type="noConversion"/>
  </si>
  <si>
    <t>(품명X)</t>
    <phoneticPr fontId="5" type="noConversion"/>
  </si>
  <si>
    <t>㈜우금</t>
    <phoneticPr fontId="5" type="noConversion"/>
  </si>
  <si>
    <t>무인쇄_베이지 90*90*135 더플타입 (코팅X)</t>
    <phoneticPr fontId="5" type="noConversion"/>
  </si>
  <si>
    <t>유진 재고 출고</t>
    <phoneticPr fontId="5" type="noConversion"/>
  </si>
  <si>
    <t>우금 사료백(코팅백_옐로우) 90*90*135 (코팅O)</t>
    <phoneticPr fontId="5" type="noConversion"/>
  </si>
  <si>
    <t>폴리드림</t>
    <phoneticPr fontId="5" type="noConversion"/>
  </si>
  <si>
    <t>폴리드림 엔지니어링 플라스틱(AK) 55*85_필름 LD0.06 54.5*88</t>
    <phoneticPr fontId="9" type="noConversion"/>
  </si>
  <si>
    <t>Ecom 500KG AL BAG 900*900*1150</t>
    <phoneticPr fontId="5" type="noConversion"/>
  </si>
  <si>
    <t>무인쇄(AK)(45+10)85</t>
    <phoneticPr fontId="5" type="noConversion"/>
  </si>
  <si>
    <t>수강플라텍</t>
    <phoneticPr fontId="5" type="noConversion"/>
  </si>
  <si>
    <t>SUPLA 엔지니어링 플라스틱(AK) 55*85_필름 LD0.06 54.5*88</t>
    <phoneticPr fontId="9" type="noConversion"/>
  </si>
  <si>
    <t>무인쇄(AK) 55*85_필름 LD 0.06 54.5*88</t>
    <phoneticPr fontId="5" type="noConversion"/>
  </si>
  <si>
    <t>창명</t>
    <phoneticPr fontId="5" type="noConversion"/>
  </si>
  <si>
    <t>태화산업</t>
    <phoneticPr fontId="5" type="noConversion"/>
  </si>
  <si>
    <t>주름지 50mm</t>
    <phoneticPr fontId="9" type="noConversion"/>
  </si>
  <si>
    <t>신덕산업</t>
    <phoneticPr fontId="5" type="noConversion"/>
  </si>
  <si>
    <t>Purge(41+14)85</t>
    <phoneticPr fontId="9" type="noConversion"/>
  </si>
  <si>
    <t>HWI 매입</t>
    <phoneticPr fontId="5" type="noConversion"/>
  </si>
  <si>
    <t>㈜나인케미칼</t>
    <phoneticPr fontId="5" type="noConversion"/>
  </si>
  <si>
    <t>500KG 무인쇄(베이지_라이너)</t>
    <phoneticPr fontId="9" type="noConversion"/>
  </si>
  <si>
    <t>㈜에스팩</t>
    <phoneticPr fontId="5" type="noConversion"/>
  </si>
  <si>
    <t>SK톤백_화이트</t>
    <phoneticPr fontId="9" type="noConversion"/>
  </si>
  <si>
    <t>㈜루소</t>
    <phoneticPr fontId="5" type="noConversion"/>
  </si>
  <si>
    <t>LD 0.05 185*320</t>
    <phoneticPr fontId="9" type="noConversion"/>
  </si>
  <si>
    <t>WSP 샘플로 출고</t>
    <phoneticPr fontId="5" type="noConversion"/>
  </si>
  <si>
    <t>무인쇄 감보백-신림매입(WSP-SL03) 100*100*125</t>
    <phoneticPr fontId="5" type="noConversion"/>
  </si>
  <si>
    <t>9/11T 최종확정 제품</t>
    <phoneticPr fontId="5" type="noConversion"/>
  </si>
  <si>
    <t>나우인더스</t>
    <phoneticPr fontId="5" type="noConversion"/>
  </si>
  <si>
    <t>선진</t>
    <phoneticPr fontId="5" type="noConversion"/>
  </si>
  <si>
    <r>
      <t xml:space="preserve">엔투비
포스코케미칼
(역발행)
</t>
    </r>
    <r>
      <rPr>
        <b/>
        <sz val="11"/>
        <color theme="1"/>
        <rFont val="맑은 고딕"/>
        <family val="3"/>
        <charset val="129"/>
        <scheme val="minor"/>
      </rPr>
      <t>-다음견적시 50원인하로 견적</t>
    </r>
    <phoneticPr fontId="9" type="noConversion"/>
  </si>
  <si>
    <t>포스코케미칼 CA-CR(32+7.5)67   EK</t>
    <phoneticPr fontId="5" type="noConversion"/>
  </si>
  <si>
    <t>포스코케미칼 CA-CR</t>
    <phoneticPr fontId="5" type="noConversion"/>
  </si>
  <si>
    <t>포스코케미칼 CA-CR1</t>
    <phoneticPr fontId="5" type="noConversion"/>
  </si>
  <si>
    <t>포스코케미칼 CA-CPR</t>
    <phoneticPr fontId="5" type="noConversion"/>
  </si>
  <si>
    <t>포스코케미칼 CA-CP</t>
    <phoneticPr fontId="5" type="noConversion"/>
  </si>
  <si>
    <t>포스코케미칼 CA-70</t>
    <phoneticPr fontId="5" type="noConversion"/>
  </si>
  <si>
    <t>포스코 SE-MC</t>
    <phoneticPr fontId="5" type="noConversion"/>
  </si>
  <si>
    <t>포스코케미칼 FILL-STAMP(FE-MT)</t>
    <phoneticPr fontId="5" type="noConversion"/>
  </si>
  <si>
    <t>포스코케미칼 LD-1700(SC-MT)</t>
    <phoneticPr fontId="5" type="noConversion"/>
  </si>
  <si>
    <t>포스코케미칼 LD-1700R(SC-MTR) -인쇄변경</t>
    <phoneticPr fontId="5" type="noConversion"/>
  </si>
  <si>
    <t>포스코케미칼 TD-RM(PT-MTD)</t>
    <phoneticPr fontId="5" type="noConversion"/>
  </si>
  <si>
    <t>포스코케미칼 TD-RM-10R(PT-MTDR) -인쇄변경</t>
    <phoneticPr fontId="5" type="noConversion"/>
  </si>
  <si>
    <t>포스코케미칼 STD-14(SE-MD3)</t>
    <phoneticPr fontId="5" type="noConversion"/>
  </si>
  <si>
    <t>포스코케미칼 DRY STAMP(SE-MD2)</t>
    <phoneticPr fontId="5" type="noConversion"/>
  </si>
  <si>
    <t>포스코케미칼 SE-MD3(무표지)</t>
    <phoneticPr fontId="5" type="noConversion"/>
  </si>
  <si>
    <t>포스코케미칼 STAMP(SE-MD3)</t>
    <phoneticPr fontId="5" type="noConversion"/>
  </si>
  <si>
    <t>포스코케미칼 CA-90R</t>
    <phoneticPr fontId="5" type="noConversion"/>
  </si>
  <si>
    <t>포스코케미칼 SI-MA</t>
    <phoneticPr fontId="5" type="noConversion"/>
  </si>
  <si>
    <t>CA-CR 조선내화 20KG</t>
    <phoneticPr fontId="5" type="noConversion"/>
  </si>
  <si>
    <t>포스코케미칼 무인쇄 AK(40+8)70</t>
    <phoneticPr fontId="5" type="noConversion"/>
  </si>
  <si>
    <t>주름지 70mm (1롤600-700m )</t>
    <phoneticPr fontId="5" type="noConversion"/>
  </si>
  <si>
    <t>12000m=300KG(단가45원)</t>
    <phoneticPr fontId="5" type="noConversion"/>
  </si>
  <si>
    <t>㈜에이지시멘트</t>
    <phoneticPr fontId="5" type="noConversion"/>
  </si>
  <si>
    <t>AZ-1(더플타입) 900*900*1400 (인쇄X)</t>
    <phoneticPr fontId="5" type="noConversion"/>
  </si>
  <si>
    <t>AZ-2(A타입) 900*900*1400 (인쇄O)</t>
  </si>
  <si>
    <t>AZ-3(B타입) 900*900*1400 (인쇄X)</t>
  </si>
  <si>
    <t>AZ-4(C타입) 900*900*1400 (인쇄X)</t>
  </si>
  <si>
    <t>AZ-5(D타입) 900*900*1400 (인쇄O)</t>
  </si>
  <si>
    <t>AZ-6(E타입) 900*900*1400 (인쇄X)</t>
  </si>
  <si>
    <t>스파이더(EK)51*78</t>
    <phoneticPr fontId="5" type="noConversion"/>
  </si>
  <si>
    <t>H</t>
  </si>
  <si>
    <t>수지판</t>
  </si>
  <si>
    <t>세일피앤지</t>
    <phoneticPr fontId="5" type="noConversion"/>
  </si>
  <si>
    <t xml:space="preserve">75*1030 EK </t>
  </si>
  <si>
    <t xml:space="preserve">75*1030 EK </t>
    <phoneticPr fontId="5" type="noConversion"/>
  </si>
  <si>
    <t>80g*1035 AK(러시아 세계자)</t>
    <phoneticPr fontId="5" type="noConversion"/>
  </si>
  <si>
    <t>MEDIUM PAPER</t>
    <phoneticPr fontId="5" type="noConversion"/>
  </si>
  <si>
    <t xml:space="preserve">단가(USD) : 
환율(USD) : </t>
    <phoneticPr fontId="5" type="noConversion"/>
  </si>
  <si>
    <t>㈜금풍</t>
    <phoneticPr fontId="5" type="noConversion"/>
  </si>
  <si>
    <r>
      <t xml:space="preserve">80g 950mm </t>
    </r>
    <r>
      <rPr>
        <sz val="9"/>
        <color theme="1"/>
        <rFont val="맑은 고딕"/>
        <family val="3"/>
        <charset val="129"/>
        <scheme val="minor"/>
      </rPr>
      <t>AP HIGH POROSITY SACK KRAFT PAPER IN REELS</t>
    </r>
    <phoneticPr fontId="5" type="noConversion"/>
  </si>
  <si>
    <t>코플리머 S/W BOX BAG(소)_반제품</t>
    <phoneticPr fontId="5" type="noConversion"/>
  </si>
  <si>
    <t>코플리머 S/W BOX BAG(중)_반제품</t>
    <phoneticPr fontId="5" type="noConversion"/>
  </si>
  <si>
    <t>A</t>
  </si>
  <si>
    <t>스파이더</t>
  </si>
  <si>
    <t>수지판비용</t>
  </si>
  <si>
    <t>내수총계</t>
    <phoneticPr fontId="5" type="noConversion"/>
  </si>
  <si>
    <t>수                           출</t>
    <phoneticPr fontId="5" type="noConversion"/>
  </si>
  <si>
    <t>동서인도네시아</t>
    <phoneticPr fontId="5" type="noConversion"/>
  </si>
  <si>
    <t>수출</t>
    <phoneticPr fontId="5" type="noConversion"/>
  </si>
  <si>
    <t>25kg  pe BAG, Yellow basic (1/2)</t>
    <phoneticPr fontId="5" type="noConversion"/>
  </si>
  <si>
    <t>동판</t>
    <phoneticPr fontId="5" type="noConversion"/>
  </si>
  <si>
    <t>GS칼텍스_체코</t>
    <phoneticPr fontId="9" type="noConversion"/>
  </si>
  <si>
    <t>1000kg바플백 체코(11/5)_출항 일</t>
    <phoneticPr fontId="5" type="noConversion"/>
  </si>
  <si>
    <t xml:space="preserve">EUR </t>
    <phoneticPr fontId="5" type="noConversion"/>
  </si>
  <si>
    <t>1000kg바플백 폴란드</t>
    <phoneticPr fontId="9" type="noConversion"/>
  </si>
  <si>
    <t>1000kg바플백 체코 (수출용)_진주공장 납품</t>
    <phoneticPr fontId="5" type="noConversion"/>
  </si>
  <si>
    <t>폴리렉스</t>
    <phoneticPr fontId="5" type="noConversion"/>
  </si>
  <si>
    <t>800KG 무인쇄 베이지(라이너) (6/27)</t>
    <phoneticPr fontId="9" type="noConversion"/>
  </si>
  <si>
    <t xml:space="preserve">USD </t>
    <phoneticPr fontId="5" type="noConversion"/>
  </si>
  <si>
    <t>800kg폴리렉스 베이지(라이너) (6/27)</t>
    <phoneticPr fontId="5" type="noConversion"/>
  </si>
  <si>
    <t>25KG 무인쇄(AK) 55*85_LD 0.13 54.5*90 삽입(1/25)</t>
    <phoneticPr fontId="5" type="noConversion"/>
  </si>
  <si>
    <t>반제품프레콘(베이지,파란,녹색 끈) (12/13)</t>
    <phoneticPr fontId="5" type="noConversion"/>
  </si>
  <si>
    <t>실링기 (1/25)</t>
    <phoneticPr fontId="5" type="noConversion"/>
  </si>
  <si>
    <t>송림피앤피</t>
    <phoneticPr fontId="9" type="noConversion"/>
  </si>
  <si>
    <t>간접
수출</t>
    <phoneticPr fontId="5" type="noConversion"/>
  </si>
  <si>
    <t>HE-3000(WHITE) 43*11.5*45.5</t>
    <phoneticPr fontId="5" type="noConversion"/>
  </si>
  <si>
    <t>HE-3500(WHITE) 43*11.5*45.5 (3P)</t>
    <phoneticPr fontId="5" type="noConversion"/>
  </si>
  <si>
    <t>HE-3500(WHITE) 43*11.5*45.5 (2P)</t>
    <phoneticPr fontId="5" type="noConversion"/>
  </si>
  <si>
    <t>AC-5500(WHITE) 43*11.5*45.5</t>
    <phoneticPr fontId="5" type="noConversion"/>
  </si>
  <si>
    <t>WEP-6500C</t>
    <phoneticPr fontId="5" type="noConversion"/>
  </si>
  <si>
    <t>신규) TNT FEED BAG 85*52*0.21</t>
    <phoneticPr fontId="5" type="noConversion"/>
  </si>
  <si>
    <t>고기백 무인쇄 85*52*0.21</t>
    <phoneticPr fontId="5" type="noConversion"/>
  </si>
  <si>
    <t>고기백 무인쇄 90*52*0.21</t>
    <phoneticPr fontId="5" type="noConversion"/>
  </si>
  <si>
    <t>붉은색 52*90*0.21mm(무인쇄)</t>
    <phoneticPr fontId="5" type="noConversion"/>
  </si>
  <si>
    <t>붉은색 52*90*0.21mm</t>
    <phoneticPr fontId="5" type="noConversion"/>
  </si>
  <si>
    <t>파란색(중문) 52*90*0.21mm</t>
    <phoneticPr fontId="5" type="noConversion"/>
  </si>
  <si>
    <t>파란색(영문) 52*82*0.21mm</t>
    <phoneticPr fontId="5" type="noConversion"/>
  </si>
  <si>
    <t>게인황N330 600*640*207(205)</t>
    <phoneticPr fontId="5" type="noConversion"/>
  </si>
  <si>
    <t>게인황N550 625*643*210</t>
    <phoneticPr fontId="5" type="noConversion"/>
  </si>
  <si>
    <t>게인황N660 585*640*172(170)</t>
    <phoneticPr fontId="5" type="noConversion"/>
  </si>
  <si>
    <t>게인황N774 560*640*167(165)</t>
    <phoneticPr fontId="5" type="noConversion"/>
  </si>
  <si>
    <t>25KG</t>
  </si>
  <si>
    <t>T-20 25KG</t>
    <phoneticPr fontId="5" type="noConversion"/>
  </si>
  <si>
    <t>T-40 25KG</t>
  </si>
  <si>
    <t>T-40 40KG</t>
  </si>
  <si>
    <t>DD-411</t>
  </si>
  <si>
    <t>DD-711</t>
  </si>
  <si>
    <t>DD-411</t>
    <phoneticPr fontId="5" type="noConversion"/>
  </si>
  <si>
    <t>EW 310</t>
    <phoneticPr fontId="5" type="noConversion"/>
  </si>
  <si>
    <t>EW 330</t>
    <phoneticPr fontId="5" type="noConversion"/>
  </si>
  <si>
    <t>EW 350/370</t>
    <phoneticPr fontId="5" type="noConversion"/>
  </si>
  <si>
    <t>Tile Grout GR</t>
    <phoneticPr fontId="5" type="noConversion"/>
  </si>
  <si>
    <t>SUNHOW Blue</t>
    <phoneticPr fontId="5" type="noConversion"/>
  </si>
  <si>
    <t>MF 130</t>
    <phoneticPr fontId="5" type="noConversion"/>
  </si>
  <si>
    <t>MD 150</t>
    <phoneticPr fontId="5" type="noConversion"/>
  </si>
  <si>
    <t>Mortar (1:2)</t>
    <phoneticPr fontId="5" type="noConversion"/>
  </si>
  <si>
    <t>Mortar (1:2) 불량건</t>
    <phoneticPr fontId="5" type="noConversion"/>
  </si>
  <si>
    <t>Mortar (1:5)</t>
    <phoneticPr fontId="5" type="noConversion"/>
  </si>
  <si>
    <t>샘플 2종</t>
    <phoneticPr fontId="5" type="noConversion"/>
  </si>
  <si>
    <t>S/W  ROLL</t>
    <phoneticPr fontId="5" type="noConversion"/>
  </si>
  <si>
    <t>폴리프로필렌</t>
    <phoneticPr fontId="5" type="noConversion"/>
  </si>
  <si>
    <t>수지판비용(신규 PE BAG 동판수정)</t>
    <phoneticPr fontId="5" type="noConversion"/>
  </si>
  <si>
    <t>2도 인쇄</t>
    <phoneticPr fontId="5" type="noConversion"/>
  </si>
  <si>
    <t>수지판비용(Mortar (1:2))</t>
    <phoneticPr fontId="5" type="noConversion"/>
  </si>
  <si>
    <t>수지판비용(샘플 2종)</t>
    <phoneticPr fontId="5" type="noConversion"/>
  </si>
  <si>
    <t>송림피앤피</t>
    <phoneticPr fontId="5" type="noConversion"/>
  </si>
  <si>
    <r>
      <t xml:space="preserve">RM 761 </t>
    </r>
    <r>
      <rPr>
        <sz val="11"/>
        <color rgb="FFFF0000"/>
        <rFont val="맑은 고딕"/>
        <family val="3"/>
        <charset val="129"/>
        <scheme val="minor"/>
      </rPr>
      <t>435*515*110</t>
    </r>
    <r>
      <rPr>
        <sz val="11"/>
        <color theme="1"/>
        <rFont val="맑은 고딕"/>
        <family val="3"/>
        <charset val="129"/>
        <scheme val="minor"/>
      </rPr>
      <t xml:space="preserve"> </t>
    </r>
    <phoneticPr fontId="5" type="noConversion"/>
  </si>
  <si>
    <r>
      <t xml:space="preserve">RT MIX </t>
    </r>
    <r>
      <rPr>
        <sz val="11"/>
        <color rgb="FFFF0000"/>
        <rFont val="맑은 고딕"/>
        <family val="3"/>
        <charset val="129"/>
        <scheme val="minor"/>
      </rPr>
      <t>435*515*110</t>
    </r>
    <phoneticPr fontId="5" type="noConversion"/>
  </si>
  <si>
    <r>
      <t xml:space="preserve">CM 167 </t>
    </r>
    <r>
      <rPr>
        <sz val="11"/>
        <color rgb="FFFF0000"/>
        <rFont val="맑은 고딕"/>
        <family val="3"/>
        <charset val="129"/>
        <scheme val="minor"/>
      </rPr>
      <t>365*435*110</t>
    </r>
    <phoneticPr fontId="5" type="noConversion"/>
  </si>
  <si>
    <r>
      <t xml:space="preserve">CM 170 </t>
    </r>
    <r>
      <rPr>
        <sz val="11"/>
        <color rgb="FFFF0000"/>
        <rFont val="맑은 고딕"/>
        <family val="3"/>
        <charset val="129"/>
        <scheme val="minor"/>
      </rPr>
      <t>435*515*110</t>
    </r>
    <phoneticPr fontId="5" type="noConversion"/>
  </si>
  <si>
    <t>CM 176/196 460*540*110</t>
    <phoneticPr fontId="5" type="noConversion"/>
  </si>
  <si>
    <r>
      <t xml:space="preserve">CM 190 </t>
    </r>
    <r>
      <rPr>
        <sz val="11"/>
        <color rgb="FFFF0000"/>
        <rFont val="맑은 고딕"/>
        <family val="3"/>
        <charset val="129"/>
        <scheme val="minor"/>
      </rPr>
      <t xml:space="preserve">435*515*110 </t>
    </r>
    <r>
      <rPr>
        <sz val="11"/>
        <color theme="1"/>
        <rFont val="맑은 고딕"/>
        <family val="3"/>
        <charset val="129"/>
        <scheme val="minor"/>
      </rPr>
      <t xml:space="preserve"> </t>
    </r>
    <phoneticPr fontId="5" type="noConversion"/>
  </si>
  <si>
    <r>
      <t xml:space="preserve">CM 192 </t>
    </r>
    <r>
      <rPr>
        <sz val="11"/>
        <color rgb="FFFF0000"/>
        <rFont val="맑은 고딕"/>
        <family val="3"/>
        <charset val="129"/>
        <scheme val="minor"/>
      </rPr>
      <t xml:space="preserve">435*515*110 </t>
    </r>
    <phoneticPr fontId="5" type="noConversion"/>
  </si>
  <si>
    <t xml:space="preserve">LM 180 460*540*110  </t>
    <phoneticPr fontId="5" type="noConversion"/>
  </si>
  <si>
    <r>
      <t xml:space="preserve">FG 330 </t>
    </r>
    <r>
      <rPr>
        <sz val="11"/>
        <color rgb="FFFF0000"/>
        <rFont val="맑은 고딕"/>
        <family val="3"/>
        <charset val="129"/>
        <scheme val="minor"/>
      </rPr>
      <t>435*515*110</t>
    </r>
    <r>
      <rPr>
        <sz val="11"/>
        <color theme="1"/>
        <rFont val="맑은 고딕"/>
        <family val="3"/>
        <charset val="129"/>
        <scheme val="minor"/>
      </rPr>
      <t xml:space="preserve"> </t>
    </r>
    <phoneticPr fontId="5" type="noConversion"/>
  </si>
  <si>
    <t xml:space="preserve">SL 101 400*460*110  </t>
    <phoneticPr fontId="5" type="noConversion"/>
  </si>
  <si>
    <t xml:space="preserve">NSG 710 400*460*110 </t>
    <phoneticPr fontId="5" type="noConversion"/>
  </si>
  <si>
    <t>TF 820 400*460*110</t>
    <phoneticPr fontId="5" type="noConversion"/>
  </si>
  <si>
    <t>TF 830 400*460*110</t>
    <phoneticPr fontId="5" type="noConversion"/>
  </si>
  <si>
    <t xml:space="preserve">TF 850 400*460*110 </t>
    <phoneticPr fontId="5" type="noConversion"/>
  </si>
  <si>
    <r>
      <t xml:space="preserve">CM 167 </t>
    </r>
    <r>
      <rPr>
        <sz val="11"/>
        <color rgb="FFFF0000"/>
        <rFont val="맑은 고딕"/>
        <family val="3"/>
        <charset val="129"/>
        <scheme val="minor"/>
      </rPr>
      <t>365*435*110</t>
    </r>
    <r>
      <rPr>
        <sz val="11"/>
        <color theme="1"/>
        <rFont val="맑은 고딕"/>
        <family val="3"/>
        <charset val="129"/>
        <scheme val="minor"/>
      </rPr>
      <t xml:space="preserve">    </t>
    </r>
    <phoneticPr fontId="5" type="noConversion"/>
  </si>
  <si>
    <r>
      <t xml:space="preserve">CM 170 </t>
    </r>
    <r>
      <rPr>
        <sz val="11"/>
        <color rgb="FFFF0000"/>
        <rFont val="맑은 고딕"/>
        <family val="3"/>
        <charset val="129"/>
        <scheme val="minor"/>
      </rPr>
      <t>435*515*110</t>
    </r>
    <r>
      <rPr>
        <sz val="11"/>
        <color theme="1"/>
        <rFont val="맑은 고딕"/>
        <family val="3"/>
        <charset val="129"/>
        <scheme val="minor"/>
      </rPr>
      <t xml:space="preserve">   </t>
    </r>
    <phoneticPr fontId="5" type="noConversion"/>
  </si>
  <si>
    <r>
      <t xml:space="preserve">CM 190 </t>
    </r>
    <r>
      <rPr>
        <sz val="11"/>
        <color rgb="FFFF0000"/>
        <rFont val="맑은 고딕"/>
        <family val="3"/>
        <charset val="129"/>
        <scheme val="minor"/>
      </rPr>
      <t xml:space="preserve">435*515*110 </t>
    </r>
    <r>
      <rPr>
        <sz val="11"/>
        <color theme="1"/>
        <rFont val="맑은 고딕"/>
        <family val="3"/>
        <charset val="129"/>
        <scheme val="minor"/>
      </rPr>
      <t xml:space="preserve">  </t>
    </r>
    <phoneticPr fontId="5" type="noConversion"/>
  </si>
  <si>
    <r>
      <t xml:space="preserve">CM 192 </t>
    </r>
    <r>
      <rPr>
        <sz val="11"/>
        <color rgb="FFFF0000"/>
        <rFont val="맑은 고딕"/>
        <family val="3"/>
        <charset val="129"/>
        <scheme val="minor"/>
      </rPr>
      <t xml:space="preserve">435*515*110 </t>
    </r>
    <r>
      <rPr>
        <sz val="11"/>
        <color theme="1"/>
        <rFont val="맑은 고딕"/>
        <family val="3"/>
        <charset val="129"/>
        <scheme val="minor"/>
      </rPr>
      <t xml:space="preserve">  </t>
    </r>
    <phoneticPr fontId="5" type="noConversion"/>
  </si>
  <si>
    <t xml:space="preserve">LM 180 460*540*110   </t>
    <phoneticPr fontId="5" type="noConversion"/>
  </si>
  <si>
    <r>
      <t xml:space="preserve">FG 330 </t>
    </r>
    <r>
      <rPr>
        <sz val="11"/>
        <color rgb="FFFF0000"/>
        <rFont val="맑은 고딕"/>
        <family val="3"/>
        <charset val="129"/>
        <scheme val="minor"/>
      </rPr>
      <t>435*515*110</t>
    </r>
    <r>
      <rPr>
        <sz val="11"/>
        <color theme="1"/>
        <rFont val="맑은 고딕"/>
        <family val="3"/>
        <charset val="129"/>
        <scheme val="minor"/>
      </rPr>
      <t xml:space="preserve">    </t>
    </r>
    <phoneticPr fontId="5" type="noConversion"/>
  </si>
  <si>
    <t xml:space="preserve">TF 820 400*460*110   </t>
    <phoneticPr fontId="5" type="noConversion"/>
  </si>
  <si>
    <t xml:space="preserve">TF 830 400*460*110   </t>
    <phoneticPr fontId="5" type="noConversion"/>
  </si>
  <si>
    <t xml:space="preserve">TF 850 400*460*110   </t>
    <phoneticPr fontId="5" type="noConversion"/>
  </si>
  <si>
    <r>
      <t xml:space="preserve">RM 761 </t>
    </r>
    <r>
      <rPr>
        <sz val="11"/>
        <color rgb="FFFF0000"/>
        <rFont val="맑은 고딕"/>
        <family val="3"/>
        <charset val="129"/>
        <scheme val="minor"/>
      </rPr>
      <t>435*515*110</t>
    </r>
    <phoneticPr fontId="5" type="noConversion"/>
  </si>
  <si>
    <r>
      <rPr>
        <sz val="11"/>
        <color rgb="FF000000"/>
        <rFont val="맑은 고딕"/>
        <family val="2"/>
        <scheme val="minor"/>
      </rPr>
      <t xml:space="preserve">CM 167 </t>
    </r>
    <r>
      <rPr>
        <sz val="11"/>
        <color rgb="FFFF0000"/>
        <rFont val="맑은 고딕"/>
        <family val="2"/>
        <scheme val="minor"/>
      </rPr>
      <t>365*435*110</t>
    </r>
    <r>
      <rPr>
        <sz val="11"/>
        <color rgb="FF000000"/>
        <rFont val="맑은 고딕"/>
        <family val="2"/>
        <scheme val="minor"/>
      </rPr>
      <t xml:space="preserve">   </t>
    </r>
    <phoneticPr fontId="5" type="noConversion"/>
  </si>
  <si>
    <r>
      <t xml:space="preserve">CM 170 </t>
    </r>
    <r>
      <rPr>
        <sz val="11"/>
        <color rgb="FFFF0000"/>
        <rFont val="맑은 고딕"/>
        <family val="3"/>
        <charset val="129"/>
        <scheme val="minor"/>
      </rPr>
      <t>435*515*110</t>
    </r>
    <r>
      <rPr>
        <sz val="11"/>
        <color theme="1"/>
        <rFont val="맑은 고딕"/>
        <family val="3"/>
        <charset val="129"/>
        <scheme val="minor"/>
      </rPr>
      <t xml:space="preserve">  </t>
    </r>
    <phoneticPr fontId="5" type="noConversion"/>
  </si>
  <si>
    <t xml:space="preserve">CM 176/196 460*540*110 </t>
    <phoneticPr fontId="5" type="noConversion"/>
  </si>
  <si>
    <r>
      <rPr>
        <sz val="11"/>
        <color rgb="FF000000"/>
        <rFont val="맑은 고딕"/>
        <family val="3"/>
        <charset val="129"/>
      </rPr>
      <t xml:space="preserve">CM 190 </t>
    </r>
    <r>
      <rPr>
        <sz val="11"/>
        <color rgb="FFFF0000"/>
        <rFont val="맑은 고딕"/>
        <family val="3"/>
        <charset val="129"/>
      </rPr>
      <t xml:space="preserve">435*515*110 </t>
    </r>
    <r>
      <rPr>
        <sz val="11"/>
        <color rgb="FF000000"/>
        <rFont val="맑은 고딕"/>
        <family val="3"/>
        <charset val="129"/>
      </rPr>
      <t xml:space="preserve">  </t>
    </r>
    <phoneticPr fontId="5" type="noConversion"/>
  </si>
  <si>
    <r>
      <t xml:space="preserve">CM 192 </t>
    </r>
    <r>
      <rPr>
        <sz val="11"/>
        <color rgb="FFFF0000"/>
        <rFont val="맑은 고딕"/>
        <family val="3"/>
        <charset val="129"/>
        <scheme val="minor"/>
      </rPr>
      <t>435*515*110</t>
    </r>
    <r>
      <rPr>
        <sz val="11"/>
        <color theme="1"/>
        <rFont val="맑은 고딕"/>
        <family val="3"/>
        <charset val="129"/>
        <scheme val="minor"/>
      </rPr>
      <t xml:space="preserve"> </t>
    </r>
    <phoneticPr fontId="5" type="noConversion"/>
  </si>
  <si>
    <r>
      <rPr>
        <sz val="11"/>
        <color rgb="FF000000"/>
        <rFont val="맑은 고딕"/>
        <family val="2"/>
        <scheme val="minor"/>
      </rPr>
      <t xml:space="preserve">FG 330 </t>
    </r>
    <r>
      <rPr>
        <sz val="11"/>
        <color rgb="FFFF0000"/>
        <rFont val="맑은 고딕"/>
        <family val="2"/>
        <scheme val="minor"/>
      </rPr>
      <t>435*515*110</t>
    </r>
    <r>
      <rPr>
        <sz val="11"/>
        <color rgb="FF000000"/>
        <rFont val="맑은 고딕"/>
        <family val="2"/>
        <scheme val="minor"/>
      </rPr>
      <t xml:space="preserve">    </t>
    </r>
    <phoneticPr fontId="5" type="noConversion"/>
  </si>
  <si>
    <t xml:space="preserve">SL 101 400*460*110     </t>
    <phoneticPr fontId="5" type="noConversion"/>
  </si>
  <si>
    <t xml:space="preserve">NSG 710 400*460*110  </t>
    <phoneticPr fontId="5" type="noConversion"/>
  </si>
  <si>
    <t xml:space="preserve">TF 830 400*460*110    </t>
    <phoneticPr fontId="5" type="noConversion"/>
  </si>
  <si>
    <t xml:space="preserve">BEB 6000 515*457*150  </t>
    <phoneticPr fontId="5" type="noConversion"/>
  </si>
  <si>
    <t xml:space="preserve">BEB 6000H 515*457*150    </t>
    <phoneticPr fontId="5" type="noConversion"/>
  </si>
  <si>
    <t xml:space="preserve">BEB 6000P 515*457*150  </t>
    <phoneticPr fontId="5" type="noConversion"/>
  </si>
  <si>
    <r>
      <t xml:space="preserve">RT MIX </t>
    </r>
    <r>
      <rPr>
        <sz val="11"/>
        <color rgb="FFFF0000"/>
        <rFont val="맑은 고딕"/>
        <family val="3"/>
        <charset val="129"/>
        <scheme val="minor"/>
      </rPr>
      <t>435*515*110</t>
    </r>
    <r>
      <rPr>
        <sz val="11"/>
        <color theme="1"/>
        <rFont val="맑은 고딕"/>
        <family val="3"/>
        <charset val="129"/>
        <scheme val="minor"/>
      </rPr>
      <t xml:space="preserve"> </t>
    </r>
    <phoneticPr fontId="5" type="noConversion"/>
  </si>
  <si>
    <t xml:space="preserve">CM 190 435*535*110      </t>
    <phoneticPr fontId="5" type="noConversion"/>
  </si>
  <si>
    <t xml:space="preserve">LM 180 460*560*110      </t>
    <phoneticPr fontId="5" type="noConversion"/>
  </si>
  <si>
    <r>
      <rPr>
        <sz val="11"/>
        <color rgb="FF000000"/>
        <rFont val="맑은 고딕"/>
        <family val="3"/>
        <charset val="129"/>
      </rPr>
      <t xml:space="preserve">FG 330 </t>
    </r>
    <r>
      <rPr>
        <sz val="11"/>
        <color rgb="FFFF0000"/>
        <rFont val="맑은 고딕"/>
        <family val="3"/>
        <charset val="129"/>
      </rPr>
      <t>435*535*110</t>
    </r>
    <r>
      <rPr>
        <sz val="11"/>
        <color rgb="FF000000"/>
        <rFont val="맑은 고딕"/>
        <family val="3"/>
        <charset val="129"/>
      </rPr>
      <t xml:space="preserve">      </t>
    </r>
    <phoneticPr fontId="5" type="noConversion"/>
  </si>
  <si>
    <t xml:space="preserve">TF 820 400*460*110      </t>
    <phoneticPr fontId="5" type="noConversion"/>
  </si>
  <si>
    <t xml:space="preserve">TF 830 400*460*110 </t>
    <phoneticPr fontId="5" type="noConversion"/>
  </si>
  <si>
    <t xml:space="preserve">TF 850 400*460*110        </t>
    <phoneticPr fontId="5" type="noConversion"/>
  </si>
  <si>
    <r>
      <rPr>
        <sz val="11"/>
        <color rgb="FF000000"/>
        <rFont val="맑은 고딕"/>
        <family val="3"/>
        <charset val="129"/>
      </rPr>
      <t>CM 167</t>
    </r>
    <r>
      <rPr>
        <sz val="11"/>
        <color rgb="FFFF0000"/>
        <rFont val="맑은 고딕"/>
        <family val="3"/>
        <charset val="129"/>
      </rPr>
      <t xml:space="preserve"> 365*435*110</t>
    </r>
    <r>
      <rPr>
        <sz val="11"/>
        <color rgb="FF000000"/>
        <rFont val="맑은 고딕"/>
        <family val="3"/>
        <charset val="129"/>
      </rPr>
      <t xml:space="preserve">    </t>
    </r>
    <phoneticPr fontId="5" type="noConversion"/>
  </si>
  <si>
    <t xml:space="preserve">NSG 710 400*460*110   </t>
    <phoneticPr fontId="5" type="noConversion"/>
  </si>
  <si>
    <t xml:space="preserve">CM 170 435*515*110  </t>
    <phoneticPr fontId="5" type="noConversion"/>
  </si>
  <si>
    <t xml:space="preserve">CM 192 435*535*110   </t>
    <phoneticPr fontId="5" type="noConversion"/>
  </si>
  <si>
    <t xml:space="preserve">SL 101 400*460*110 </t>
    <phoneticPr fontId="5" type="noConversion"/>
  </si>
  <si>
    <t>(달러표기 한화로 표기함)</t>
    <phoneticPr fontId="5" type="noConversion"/>
  </si>
  <si>
    <r>
      <t xml:space="preserve">RT MIX </t>
    </r>
    <r>
      <rPr>
        <sz val="11"/>
        <color rgb="FFFF0000"/>
        <rFont val="맑은 고딕"/>
        <family val="3"/>
        <charset val="129"/>
        <scheme val="minor"/>
      </rPr>
      <t xml:space="preserve">435*515*110 </t>
    </r>
    <r>
      <rPr>
        <sz val="11"/>
        <color theme="1"/>
        <rFont val="맑은 고딕"/>
        <family val="3"/>
        <charset val="129"/>
        <scheme val="minor"/>
      </rPr>
      <t xml:space="preserve"> </t>
    </r>
    <phoneticPr fontId="5" type="noConversion"/>
  </si>
  <si>
    <r>
      <t xml:space="preserve">CM 167 </t>
    </r>
    <r>
      <rPr>
        <sz val="11"/>
        <color rgb="FFFF0000"/>
        <rFont val="맑은 고딕"/>
        <family val="3"/>
        <charset val="129"/>
        <scheme val="minor"/>
      </rPr>
      <t>365*435*110</t>
    </r>
    <r>
      <rPr>
        <sz val="11"/>
        <color theme="1"/>
        <rFont val="맑은 고딕"/>
        <family val="3"/>
        <charset val="129"/>
        <scheme val="minor"/>
      </rPr>
      <t xml:space="preserve">  </t>
    </r>
    <phoneticPr fontId="5" type="noConversion"/>
  </si>
  <si>
    <r>
      <t xml:space="preserve">CM 170 </t>
    </r>
    <r>
      <rPr>
        <sz val="11"/>
        <color rgb="FFFF0000"/>
        <rFont val="맑은 고딕"/>
        <family val="3"/>
        <charset val="129"/>
        <scheme val="minor"/>
      </rPr>
      <t xml:space="preserve">435*515*110 </t>
    </r>
    <r>
      <rPr>
        <sz val="11"/>
        <color theme="1"/>
        <rFont val="맑은 고딕"/>
        <family val="3"/>
        <charset val="129"/>
        <scheme val="minor"/>
      </rPr>
      <t xml:space="preserve"> </t>
    </r>
    <phoneticPr fontId="5" type="noConversion"/>
  </si>
  <si>
    <r>
      <t xml:space="preserve">CM 190 </t>
    </r>
    <r>
      <rPr>
        <sz val="11"/>
        <color rgb="FFFF0000"/>
        <rFont val="맑은 고딕"/>
        <family val="3"/>
        <charset val="129"/>
        <scheme val="minor"/>
      </rPr>
      <t>435*515*110</t>
    </r>
    <r>
      <rPr>
        <sz val="11"/>
        <color theme="1"/>
        <rFont val="맑은 고딕"/>
        <family val="3"/>
        <charset val="129"/>
        <scheme val="minor"/>
      </rPr>
      <t xml:space="preserve">  </t>
    </r>
    <phoneticPr fontId="5" type="noConversion"/>
  </si>
  <si>
    <r>
      <t xml:space="preserve">FG 330 </t>
    </r>
    <r>
      <rPr>
        <sz val="11"/>
        <color rgb="FFFF0000"/>
        <rFont val="맑은 고딕"/>
        <family val="3"/>
        <charset val="129"/>
        <scheme val="minor"/>
      </rPr>
      <t>435*515*110</t>
    </r>
    <r>
      <rPr>
        <sz val="11"/>
        <rFont val="맑은 고딕"/>
        <family val="3"/>
        <charset val="129"/>
        <scheme val="minor"/>
      </rPr>
      <t xml:space="preserve"> </t>
    </r>
    <phoneticPr fontId="5" type="noConversion"/>
  </si>
  <si>
    <t xml:space="preserve">TF 820 400*460*110 </t>
    <phoneticPr fontId="5" type="noConversion"/>
  </si>
  <si>
    <t xml:space="preserve">TF 830 400*460*110  </t>
    <phoneticPr fontId="5" type="noConversion"/>
  </si>
  <si>
    <r>
      <t xml:space="preserve">CM 170 </t>
    </r>
    <r>
      <rPr>
        <sz val="11"/>
        <color rgb="FFFF0000"/>
        <rFont val="맑은 고딕"/>
        <family val="3"/>
        <charset val="129"/>
        <scheme val="minor"/>
      </rPr>
      <t xml:space="preserve">435*515*110 </t>
    </r>
    <r>
      <rPr>
        <sz val="11"/>
        <color theme="1"/>
        <rFont val="맑은 고딕"/>
        <family val="3"/>
        <charset val="129"/>
        <scheme val="minor"/>
      </rPr>
      <t xml:space="preserve">  </t>
    </r>
    <phoneticPr fontId="5" type="noConversion"/>
  </si>
  <si>
    <r>
      <t xml:space="preserve">CM 190 </t>
    </r>
    <r>
      <rPr>
        <sz val="11"/>
        <color rgb="FFFF0000"/>
        <rFont val="맑은 고딕"/>
        <family val="3"/>
        <charset val="129"/>
        <scheme val="minor"/>
      </rPr>
      <t>435*515*110</t>
    </r>
    <r>
      <rPr>
        <sz val="11"/>
        <color theme="1"/>
        <rFont val="맑은 고딕"/>
        <family val="3"/>
        <charset val="129"/>
        <scheme val="minor"/>
      </rPr>
      <t xml:space="preserve">    </t>
    </r>
    <phoneticPr fontId="5" type="noConversion"/>
  </si>
  <si>
    <r>
      <t xml:space="preserve">FG 330 </t>
    </r>
    <r>
      <rPr>
        <sz val="11"/>
        <color rgb="FFFF0000"/>
        <rFont val="맑은 고딕"/>
        <family val="3"/>
        <charset val="129"/>
        <scheme val="minor"/>
      </rPr>
      <t>435*515*110</t>
    </r>
    <r>
      <rPr>
        <sz val="11"/>
        <color theme="1"/>
        <rFont val="맑은 고딕"/>
        <family val="3"/>
        <charset val="129"/>
        <scheme val="minor"/>
      </rPr>
      <t xml:space="preserve">   </t>
    </r>
    <phoneticPr fontId="5" type="noConversion"/>
  </si>
  <si>
    <t xml:space="preserve">TF 820 400*460*110  </t>
    <phoneticPr fontId="5" type="noConversion"/>
  </si>
  <si>
    <r>
      <rPr>
        <sz val="11"/>
        <color rgb="FF000000"/>
        <rFont val="맑은 고딕"/>
        <family val="3"/>
        <charset val="129"/>
      </rPr>
      <t xml:space="preserve">CM 167 </t>
    </r>
    <r>
      <rPr>
        <sz val="11"/>
        <color rgb="FFFF0000"/>
        <rFont val="맑은 고딕"/>
        <family val="3"/>
        <charset val="129"/>
      </rPr>
      <t>365*435*110</t>
    </r>
    <r>
      <rPr>
        <sz val="11"/>
        <color rgb="FF000000"/>
        <rFont val="맑은 고딕"/>
        <family val="3"/>
        <charset val="129"/>
      </rPr>
      <t xml:space="preserve">    </t>
    </r>
    <phoneticPr fontId="5" type="noConversion"/>
  </si>
  <si>
    <r>
      <rPr>
        <sz val="11"/>
        <color rgb="FF000000"/>
        <rFont val="맑은 고딕"/>
        <family val="3"/>
        <charset val="129"/>
      </rPr>
      <t>CM 190</t>
    </r>
    <r>
      <rPr>
        <sz val="11"/>
        <color rgb="FFFF0000"/>
        <rFont val="맑은 고딕"/>
        <family val="3"/>
        <charset val="129"/>
      </rPr>
      <t xml:space="preserve"> 435*515*110</t>
    </r>
    <r>
      <rPr>
        <sz val="11"/>
        <color rgb="FF000000"/>
        <rFont val="맑은 고딕"/>
        <family val="3"/>
        <charset val="129"/>
      </rPr>
      <t xml:space="preserve">  </t>
    </r>
    <phoneticPr fontId="5" type="noConversion"/>
  </si>
  <si>
    <r>
      <t xml:space="preserve">CM 192 </t>
    </r>
    <r>
      <rPr>
        <sz val="11"/>
        <color rgb="FFFF0000"/>
        <rFont val="맑은 고딕"/>
        <family val="3"/>
        <charset val="129"/>
        <scheme val="minor"/>
      </rPr>
      <t>435*515*110</t>
    </r>
    <r>
      <rPr>
        <sz val="11"/>
        <color theme="1"/>
        <rFont val="맑은 고딕"/>
        <family val="3"/>
        <charset val="129"/>
        <scheme val="minor"/>
      </rPr>
      <t xml:space="preserve">  </t>
    </r>
    <phoneticPr fontId="5" type="noConversion"/>
  </si>
  <si>
    <t xml:space="preserve">LM 180 460*540*110 </t>
    <phoneticPr fontId="5" type="noConversion"/>
  </si>
  <si>
    <r>
      <rPr>
        <sz val="11"/>
        <color rgb="FF000000"/>
        <rFont val="맑은 고딕"/>
        <family val="3"/>
        <charset val="129"/>
      </rPr>
      <t xml:space="preserve">FG 330 </t>
    </r>
    <r>
      <rPr>
        <sz val="11"/>
        <color rgb="FFFF0000"/>
        <rFont val="맑은 고딕"/>
        <family val="3"/>
        <charset val="129"/>
      </rPr>
      <t>435*515*110</t>
    </r>
    <r>
      <rPr>
        <sz val="11"/>
        <color rgb="FF000000"/>
        <rFont val="맑은 고딕"/>
        <family val="3"/>
        <charset val="129"/>
      </rPr>
      <t xml:space="preserve">    </t>
    </r>
    <phoneticPr fontId="5" type="noConversion"/>
  </si>
  <si>
    <t xml:space="preserve">SL 101 400*460*110   </t>
    <phoneticPr fontId="5" type="noConversion"/>
  </si>
  <si>
    <t xml:space="preserve">TF 850 400*460*110     </t>
    <phoneticPr fontId="5" type="noConversion"/>
  </si>
  <si>
    <t xml:space="preserve">BEB 6000   </t>
    <phoneticPr fontId="5" type="noConversion"/>
  </si>
  <si>
    <t xml:space="preserve">BEB 6000H   </t>
    <phoneticPr fontId="5" type="noConversion"/>
  </si>
  <si>
    <t xml:space="preserve">BEB 6000P  </t>
    <phoneticPr fontId="5" type="noConversion"/>
  </si>
  <si>
    <r>
      <t xml:space="preserve">RM 761 </t>
    </r>
    <r>
      <rPr>
        <sz val="11"/>
        <color rgb="FFFF0000"/>
        <rFont val="맑은 고딕"/>
        <family val="3"/>
        <charset val="129"/>
        <scheme val="minor"/>
      </rPr>
      <t xml:space="preserve">435*515*110 </t>
    </r>
    <phoneticPr fontId="5" type="noConversion"/>
  </si>
  <si>
    <r>
      <rPr>
        <sz val="11"/>
        <color rgb="FF000000"/>
        <rFont val="맑은 고딕"/>
        <family val="3"/>
        <charset val="129"/>
      </rPr>
      <t xml:space="preserve">CM 190 </t>
    </r>
    <r>
      <rPr>
        <sz val="11"/>
        <color rgb="FFFF0000"/>
        <rFont val="맑은 고딕"/>
        <family val="3"/>
        <charset val="129"/>
      </rPr>
      <t>435*535*110</t>
    </r>
    <r>
      <rPr>
        <sz val="11"/>
        <color rgb="FF000000"/>
        <rFont val="맑은 고딕"/>
        <family val="3"/>
        <charset val="129"/>
      </rPr>
      <t xml:space="preserve">  </t>
    </r>
    <phoneticPr fontId="5" type="noConversion"/>
  </si>
  <si>
    <r>
      <rPr>
        <sz val="11"/>
        <color rgb="FF000000"/>
        <rFont val="맑은 고딕"/>
        <family val="3"/>
        <charset val="129"/>
      </rPr>
      <t xml:space="preserve">CM 192 </t>
    </r>
    <r>
      <rPr>
        <sz val="11"/>
        <color rgb="FFFF0000"/>
        <rFont val="맑은 고딕"/>
        <family val="3"/>
        <charset val="129"/>
      </rPr>
      <t>435*535*110</t>
    </r>
    <r>
      <rPr>
        <sz val="11"/>
        <color rgb="FF000000"/>
        <rFont val="맑은 고딕"/>
        <family val="3"/>
        <charset val="129"/>
      </rPr>
      <t xml:space="preserve">   </t>
    </r>
    <phoneticPr fontId="5" type="noConversion"/>
  </si>
  <si>
    <t xml:space="preserve">LM 180 460*560*110   </t>
    <phoneticPr fontId="5" type="noConversion"/>
  </si>
  <si>
    <r>
      <rPr>
        <sz val="11"/>
        <color rgb="FF000000"/>
        <rFont val="맑은 고딕"/>
        <family val="3"/>
        <charset val="129"/>
      </rPr>
      <t>FG 330</t>
    </r>
    <r>
      <rPr>
        <sz val="11"/>
        <color rgb="FFFF0000"/>
        <rFont val="맑은 고딕"/>
        <family val="3"/>
        <charset val="129"/>
      </rPr>
      <t xml:space="preserve"> 435*515*110</t>
    </r>
    <r>
      <rPr>
        <sz val="11"/>
        <color rgb="FF000000"/>
        <rFont val="맑은 고딕"/>
        <family val="3"/>
        <charset val="129"/>
      </rPr>
      <t xml:space="preserve">     </t>
    </r>
    <phoneticPr fontId="5" type="noConversion"/>
  </si>
  <si>
    <t xml:space="preserve">TF 820 400*460*110    </t>
    <phoneticPr fontId="5" type="noConversion"/>
  </si>
  <si>
    <r>
      <rPr>
        <sz val="11"/>
        <color rgb="FF000000"/>
        <rFont val="맑은 고딕"/>
        <family val="3"/>
        <charset val="129"/>
      </rPr>
      <t xml:space="preserve">CM 167 </t>
    </r>
    <r>
      <rPr>
        <sz val="11"/>
        <color rgb="FFFF0000"/>
        <rFont val="맑은 고딕"/>
        <family val="3"/>
        <charset val="129"/>
      </rPr>
      <t>365*435*110</t>
    </r>
    <r>
      <rPr>
        <sz val="11"/>
        <color rgb="FF000000"/>
        <rFont val="맑은 고딕"/>
        <family val="3"/>
        <charset val="129"/>
      </rPr>
      <t xml:space="preserve">     </t>
    </r>
    <phoneticPr fontId="5" type="noConversion"/>
  </si>
  <si>
    <r>
      <rPr>
        <sz val="11"/>
        <color rgb="FF000000"/>
        <rFont val="맑은 고딕"/>
        <family val="3"/>
        <charset val="129"/>
      </rPr>
      <t xml:space="preserve">CM 170 </t>
    </r>
    <r>
      <rPr>
        <sz val="11"/>
        <color rgb="FFFF0000"/>
        <rFont val="맑은 고딕"/>
        <family val="3"/>
        <charset val="129"/>
      </rPr>
      <t>435*515*110</t>
    </r>
    <r>
      <rPr>
        <sz val="11"/>
        <color rgb="FF000000"/>
        <rFont val="맑은 고딕"/>
        <family val="3"/>
        <charset val="129"/>
      </rPr>
      <t xml:space="preserve">  </t>
    </r>
    <phoneticPr fontId="5" type="noConversion"/>
  </si>
  <si>
    <t>수출 총계</t>
    <phoneticPr fontId="5" type="noConversion"/>
  </si>
  <si>
    <t>합계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</si>
</sst>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&quot;₩&quot;* #,##0_-;\-&quot;₩&quot;* #,##0_-;_-&quot;₩&quot;* &quot;-&quot;_-;_-@_-"/>
    <numFmt numFmtId="41" formatCode="_-* #,##0_-;\-* #,##0_-;_-* &quot;-&quot;_-;_-@_-"/>
    <numFmt numFmtId="176" formatCode="_-* #,##0.00_-;\-* #,##0.00_-;_-* &quot;-&quot;_-;_-@_-"/>
    <numFmt numFmtId="177" formatCode="_-* #,##0.0_-;\-* #,##0.0_-;_-* &quot;-&quot;_-;_-@_-"/>
    <numFmt numFmtId="178" formatCode="_-* #,##0.000_-;\-* #,##0.000_-;_-* &quot;-&quot;_-;_-@_-"/>
    <numFmt numFmtId="179" formatCode="#,##0;[Red]#,##0"/>
    <numFmt numFmtId="180" formatCode="_-[$$-409]* #,##0.00_ ;_-[$$-409]* \-#,##0.00\ ;_-[$$-409]* &quot;-&quot;??_ ;_-@_ "/>
    <numFmt numFmtId="181" formatCode="_-[$$-409]* #,##0_ ;_-[$$-409]* \-#,##0\ ;_-[$$-409]* &quot;-&quot;??_ ;_-@_ "/>
    <numFmt numFmtId="182" formatCode="_-[$$-409]* #,##0.000_ ;_-[$$-409]* \-#,##0.000\ ;_-[$$-409]* &quot;-&quot;??_ ;_-@_ "/>
    <numFmt numFmtId="183" formatCode="_-[$$-409]* #,##0.0_ ;_-[$$-409]* \-#,##0.0\ ;_-[$$-409]* &quot;-&quot;??_ ;_-@_ "/>
    <numFmt numFmtId="184" formatCode="_-* #,##0.0000_-;\-* #,##0.0000_-;_-* &quot;-&quot;_-;_-@_-"/>
  </numFmts>
  <fonts count="3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4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scheme val="minor"/>
    </font>
    <font>
      <sz val="10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333333"/>
      <name val="Times New Roman"/>
      <family val="1"/>
    </font>
    <font>
      <sz val="9"/>
      <color theme="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sz val="11"/>
      <color theme="1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205">
    <xf numFmtId="0" fontId="0" fillId="0" borderId="0" xfId="0">
      <alignment vertical="center"/>
    </xf>
    <xf numFmtId="0" fontId="4" fillId="0" borderId="0" xfId="5">
      <alignment vertical="center"/>
    </xf>
    <xf numFmtId="41" fontId="4" fillId="0" borderId="0" xfId="5" applyNumberFormat="1">
      <alignment vertical="center"/>
    </xf>
    <xf numFmtId="0" fontId="6" fillId="0" borderId="0" xfId="5" applyFont="1">
      <alignment vertical="center"/>
    </xf>
    <xf numFmtId="176" fontId="4" fillId="0" borderId="0" xfId="5" applyNumberFormat="1">
      <alignment vertical="center"/>
    </xf>
    <xf numFmtId="0" fontId="8" fillId="3" borderId="1" xfId="5" applyFont="1" applyFill="1" applyBorder="1">
      <alignment vertical="center"/>
    </xf>
    <xf numFmtId="0" fontId="4" fillId="4" borderId="2" xfId="5" applyFill="1" applyBorder="1" applyAlignment="1">
      <alignment horizontal="center" vertical="center"/>
    </xf>
    <xf numFmtId="0" fontId="8" fillId="3" borderId="3" xfId="5" applyFont="1" applyFill="1" applyBorder="1">
      <alignment vertical="center"/>
    </xf>
    <xf numFmtId="0" fontId="8" fillId="4" borderId="3" xfId="5" applyFont="1" applyFill="1" applyBorder="1">
      <alignment vertical="center"/>
    </xf>
    <xf numFmtId="0" fontId="4" fillId="0" borderId="4" xfId="5" applyBorder="1" applyAlignment="1">
      <alignment horizontal="center" vertical="center"/>
    </xf>
    <xf numFmtId="0" fontId="4" fillId="0" borderId="5" xfId="5" applyBorder="1">
      <alignment vertical="center"/>
    </xf>
    <xf numFmtId="0" fontId="4" fillId="0" borderId="3" xfId="5" applyBorder="1">
      <alignment vertical="center"/>
    </xf>
    <xf numFmtId="41" fontId="4" fillId="0" borderId="3" xfId="6" applyFont="1" applyFill="1" applyBorder="1">
      <alignment vertical="center"/>
    </xf>
    <xf numFmtId="0" fontId="4" fillId="0" borderId="6" xfId="5" applyBorder="1" applyAlignment="1">
      <alignment horizontal="center" vertical="center"/>
    </xf>
    <xf numFmtId="0" fontId="4" fillId="0" borderId="3" xfId="5" applyBorder="1" applyAlignment="1">
      <alignment vertical="center" wrapText="1"/>
    </xf>
    <xf numFmtId="0" fontId="0" fillId="0" borderId="3" xfId="5" applyFont="1" applyBorder="1">
      <alignment vertical="center"/>
    </xf>
    <xf numFmtId="0" fontId="10" fillId="5" borderId="3" xfId="5" applyFont="1" applyFill="1" applyBorder="1">
      <alignment vertical="center"/>
    </xf>
    <xf numFmtId="0" fontId="4" fillId="0" borderId="7" xfId="5" applyBorder="1" applyAlignment="1">
      <alignment horizontal="center" vertical="center"/>
    </xf>
    <xf numFmtId="0" fontId="4" fillId="4" borderId="5" xfId="5" applyFill="1" applyBorder="1">
      <alignment vertical="center"/>
    </xf>
    <xf numFmtId="0" fontId="4" fillId="4" borderId="3" xfId="5" applyFill="1" applyBorder="1">
      <alignment vertical="center"/>
    </xf>
    <xf numFmtId="41" fontId="4" fillId="4" borderId="3" xfId="6" applyFont="1" applyFill="1" applyBorder="1">
      <alignment vertical="center"/>
    </xf>
    <xf numFmtId="41" fontId="4" fillId="3" borderId="3" xfId="6" applyFont="1" applyFill="1" applyBorder="1">
      <alignment vertical="center"/>
    </xf>
    <xf numFmtId="9" fontId="4" fillId="3" borderId="3" xfId="3" applyFont="1" applyFill="1" applyBorder="1">
      <alignment vertical="center"/>
    </xf>
    <xf numFmtId="41" fontId="4" fillId="0" borderId="3" xfId="6" applyFont="1" applyBorder="1">
      <alignment vertical="center"/>
    </xf>
    <xf numFmtId="0" fontId="4" fillId="5" borderId="3" xfId="5" applyFill="1" applyBorder="1">
      <alignment vertical="center"/>
    </xf>
    <xf numFmtId="41" fontId="4" fillId="5" borderId="3" xfId="6" applyFont="1" applyFill="1" applyBorder="1">
      <alignment vertical="center"/>
    </xf>
    <xf numFmtId="0" fontId="4" fillId="3" borderId="3" xfId="5" applyFill="1" applyBorder="1">
      <alignment vertical="center"/>
    </xf>
    <xf numFmtId="0" fontId="4" fillId="0" borderId="4" xfId="5" applyBorder="1" applyAlignment="1">
      <alignment horizontal="center" vertical="center" wrapText="1"/>
    </xf>
    <xf numFmtId="0" fontId="12" fillId="0" borderId="5" xfId="5" applyFont="1" applyBorder="1">
      <alignment vertical="center"/>
    </xf>
    <xf numFmtId="0" fontId="12" fillId="0" borderId="0" xfId="5" applyFont="1">
      <alignment vertical="center"/>
    </xf>
    <xf numFmtId="0" fontId="4" fillId="0" borderId="6" xfId="5" applyBorder="1" applyAlignment="1">
      <alignment horizontal="center" vertical="center" wrapText="1"/>
    </xf>
    <xf numFmtId="0" fontId="13" fillId="0" borderId="0" xfId="5" applyFont="1">
      <alignment vertical="center"/>
    </xf>
    <xf numFmtId="0" fontId="4" fillId="6" borderId="3" xfId="5" applyFill="1" applyBorder="1">
      <alignment vertical="center"/>
    </xf>
    <xf numFmtId="41" fontId="4" fillId="0" borderId="0" xfId="1" applyFont="1">
      <alignment vertical="center"/>
    </xf>
    <xf numFmtId="0" fontId="4" fillId="7" borderId="3" xfId="5" applyFill="1" applyBorder="1">
      <alignment vertical="center"/>
    </xf>
    <xf numFmtId="0" fontId="4" fillId="8" borderId="3" xfId="5" applyFill="1" applyBorder="1">
      <alignment vertical="center"/>
    </xf>
    <xf numFmtId="0" fontId="4" fillId="9" borderId="3" xfId="5" applyFill="1" applyBorder="1">
      <alignment vertical="center"/>
    </xf>
    <xf numFmtId="41" fontId="4" fillId="10" borderId="3" xfId="6" applyFont="1" applyFill="1" applyBorder="1">
      <alignment vertical="center"/>
    </xf>
    <xf numFmtId="0" fontId="4" fillId="0" borderId="7" xfId="5" applyBorder="1" applyAlignment="1">
      <alignment horizontal="center" vertical="center" wrapText="1"/>
    </xf>
    <xf numFmtId="0" fontId="13" fillId="4" borderId="5" xfId="5" applyFont="1" applyFill="1" applyBorder="1">
      <alignment vertical="center"/>
    </xf>
    <xf numFmtId="9" fontId="13" fillId="3" borderId="3" xfId="3" applyFont="1" applyFill="1" applyBorder="1">
      <alignment vertical="center"/>
    </xf>
    <xf numFmtId="0" fontId="15" fillId="0" borderId="4" xfId="5" applyFont="1" applyBorder="1" applyAlignment="1">
      <alignment horizontal="center" vertical="center"/>
    </xf>
    <xf numFmtId="0" fontId="15" fillId="0" borderId="6" xfId="5" applyFont="1" applyBorder="1" applyAlignment="1">
      <alignment horizontal="center" vertical="center"/>
    </xf>
    <xf numFmtId="0" fontId="15" fillId="0" borderId="7" xfId="5" applyFont="1" applyBorder="1" applyAlignment="1">
      <alignment horizontal="center" vertical="center"/>
    </xf>
    <xf numFmtId="0" fontId="4" fillId="11" borderId="3" xfId="5" applyFill="1" applyBorder="1">
      <alignment vertical="center"/>
    </xf>
    <xf numFmtId="0" fontId="4" fillId="0" borderId="3" xfId="5" applyBorder="1" applyAlignment="1">
      <alignment horizontal="left" vertical="center"/>
    </xf>
    <xf numFmtId="0" fontId="4" fillId="12" borderId="3" xfId="5" applyFill="1" applyBorder="1">
      <alignment vertical="center"/>
    </xf>
    <xf numFmtId="0" fontId="16" fillId="0" borderId="3" xfId="5" applyFont="1" applyBorder="1">
      <alignment vertical="center"/>
    </xf>
    <xf numFmtId="0" fontId="4" fillId="13" borderId="3" xfId="5" applyFill="1" applyBorder="1">
      <alignment vertical="center"/>
    </xf>
    <xf numFmtId="41" fontId="4" fillId="0" borderId="3" xfId="1" applyFont="1" applyFill="1" applyBorder="1">
      <alignment vertical="center"/>
    </xf>
    <xf numFmtId="0" fontId="0" fillId="5" borderId="3" xfId="5" applyFont="1" applyFill="1" applyBorder="1">
      <alignment vertical="center"/>
    </xf>
    <xf numFmtId="177" fontId="4" fillId="0" borderId="3" xfId="6" applyNumberFormat="1" applyFont="1" applyFill="1" applyBorder="1">
      <alignment vertical="center"/>
    </xf>
    <xf numFmtId="41" fontId="4" fillId="13" borderId="3" xfId="6" applyFont="1" applyFill="1" applyBorder="1">
      <alignment vertical="center"/>
    </xf>
    <xf numFmtId="0" fontId="11" fillId="0" borderId="3" xfId="5" applyFont="1" applyBorder="1">
      <alignment vertical="center"/>
    </xf>
    <xf numFmtId="0" fontId="0" fillId="0" borderId="4" xfId="5" applyFont="1" applyBorder="1" applyAlignment="1">
      <alignment horizontal="center" vertical="center"/>
    </xf>
    <xf numFmtId="0" fontId="0" fillId="0" borderId="6" xfId="5" applyFont="1" applyBorder="1" applyAlignment="1">
      <alignment horizontal="center" vertical="center"/>
    </xf>
    <xf numFmtId="0" fontId="0" fillId="0" borderId="7" xfId="5" applyFont="1" applyBorder="1" applyAlignment="1">
      <alignment horizontal="center" vertical="center"/>
    </xf>
    <xf numFmtId="0" fontId="17" fillId="0" borderId="4" xfId="5" applyFont="1" applyBorder="1" applyAlignment="1">
      <alignment horizontal="center" vertical="center" wrapText="1"/>
    </xf>
    <xf numFmtId="0" fontId="17" fillId="0" borderId="7" xfId="5" applyFont="1" applyBorder="1" applyAlignment="1">
      <alignment horizontal="center" vertical="center"/>
    </xf>
    <xf numFmtId="0" fontId="17" fillId="0" borderId="4" xfId="5" applyFont="1" applyBorder="1" applyAlignment="1">
      <alignment horizontal="center" vertical="center"/>
    </xf>
    <xf numFmtId="0" fontId="4" fillId="0" borderId="8" xfId="5" applyBorder="1" applyAlignment="1">
      <alignment horizontal="center" vertical="center" wrapText="1"/>
    </xf>
    <xf numFmtId="0" fontId="4" fillId="0" borderId="9" xfId="5" applyBorder="1" applyAlignment="1">
      <alignment horizontal="center" vertical="center"/>
    </xf>
    <xf numFmtId="0" fontId="4" fillId="0" borderId="10" xfId="5" applyBorder="1" applyAlignment="1">
      <alignment horizontal="center" vertical="center"/>
    </xf>
    <xf numFmtId="0" fontId="18" fillId="0" borderId="3" xfId="5" applyFont="1" applyBorder="1">
      <alignment vertical="center"/>
    </xf>
    <xf numFmtId="41" fontId="0" fillId="0" borderId="3" xfId="6" applyFont="1" applyBorder="1">
      <alignment vertical="center"/>
    </xf>
    <xf numFmtId="0" fontId="4" fillId="4" borderId="1" xfId="5" applyFill="1" applyBorder="1" applyAlignment="1">
      <alignment horizontal="center" vertical="center"/>
    </xf>
    <xf numFmtId="0" fontId="4" fillId="4" borderId="11" xfId="5" applyFill="1" applyBorder="1" applyAlignment="1">
      <alignment horizontal="center" vertical="center"/>
    </xf>
    <xf numFmtId="0" fontId="4" fillId="4" borderId="5" xfId="5" applyFill="1" applyBorder="1" applyAlignment="1">
      <alignment horizontal="center" vertical="center"/>
    </xf>
    <xf numFmtId="0" fontId="15" fillId="0" borderId="4" xfId="5" applyFont="1" applyBorder="1" applyAlignment="1">
      <alignment horizontal="center" vertical="center" wrapText="1"/>
    </xf>
    <xf numFmtId="0" fontId="15" fillId="0" borderId="6" xfId="5" applyFont="1" applyBorder="1" applyAlignment="1">
      <alignment horizontal="center" vertical="center" wrapText="1"/>
    </xf>
    <xf numFmtId="0" fontId="15" fillId="0" borderId="7" xfId="5" applyFont="1" applyBorder="1" applyAlignment="1">
      <alignment horizontal="center" vertical="center" wrapText="1"/>
    </xf>
    <xf numFmtId="0" fontId="14" fillId="0" borderId="3" xfId="5" applyFont="1" applyBorder="1">
      <alignment vertical="center"/>
    </xf>
    <xf numFmtId="41" fontId="4" fillId="0" borderId="3" xfId="1" applyFont="1" applyBorder="1">
      <alignment vertical="center"/>
    </xf>
    <xf numFmtId="178" fontId="4" fillId="0" borderId="3" xfId="6" applyNumberFormat="1" applyFont="1" applyFill="1" applyBorder="1">
      <alignment vertical="center"/>
    </xf>
    <xf numFmtId="1" fontId="4" fillId="0" borderId="3" xfId="5" applyNumberFormat="1" applyBorder="1">
      <alignment vertical="center"/>
    </xf>
    <xf numFmtId="0" fontId="19" fillId="0" borderId="3" xfId="0" applyFont="1" applyBorder="1">
      <alignment vertical="center"/>
    </xf>
    <xf numFmtId="176" fontId="4" fillId="0" borderId="3" xfId="6" applyNumberFormat="1" applyFont="1" applyFill="1" applyBorder="1">
      <alignment vertical="center"/>
    </xf>
    <xf numFmtId="0" fontId="14" fillId="0" borderId="3" xfId="5" applyFont="1" applyBorder="1" applyAlignment="1">
      <alignment vertical="center" wrapText="1"/>
    </xf>
    <xf numFmtId="0" fontId="4" fillId="13" borderId="5" xfId="5" applyFill="1" applyBorder="1">
      <alignment vertical="center"/>
    </xf>
    <xf numFmtId="0" fontId="4" fillId="13" borderId="3" xfId="5" applyFill="1" applyBorder="1" applyAlignment="1">
      <alignment vertical="center" wrapText="1"/>
    </xf>
    <xf numFmtId="41" fontId="4" fillId="8" borderId="3" xfId="6" applyFont="1" applyFill="1" applyBorder="1">
      <alignment vertical="center"/>
    </xf>
    <xf numFmtId="9" fontId="4" fillId="4" borderId="3" xfId="3" applyFont="1" applyFill="1" applyBorder="1">
      <alignment vertical="center"/>
    </xf>
    <xf numFmtId="0" fontId="4" fillId="14" borderId="4" xfId="5" applyFill="1" applyBorder="1" applyAlignment="1">
      <alignment horizontal="center" vertical="center"/>
    </xf>
    <xf numFmtId="179" fontId="4" fillId="0" borderId="3" xfId="5" applyNumberFormat="1" applyBorder="1">
      <alignment vertical="center"/>
    </xf>
    <xf numFmtId="0" fontId="4" fillId="14" borderId="6" xfId="5" applyFill="1" applyBorder="1" applyAlignment="1">
      <alignment horizontal="center" vertical="center"/>
    </xf>
    <xf numFmtId="179" fontId="15" fillId="0" borderId="3" xfId="5" applyNumberFormat="1" applyFont="1" applyBorder="1">
      <alignment vertical="center"/>
    </xf>
    <xf numFmtId="0" fontId="4" fillId="14" borderId="7" xfId="5" applyFill="1" applyBorder="1" applyAlignment="1">
      <alignment horizontal="center" vertical="center"/>
    </xf>
    <xf numFmtId="0" fontId="17" fillId="0" borderId="4" xfId="4" applyFont="1" applyFill="1" applyBorder="1" applyAlignment="1">
      <alignment horizontal="center" vertical="center" wrapText="1"/>
    </xf>
    <xf numFmtId="0" fontId="15" fillId="0" borderId="6" xfId="4" applyFont="1" applyFill="1" applyBorder="1" applyAlignment="1">
      <alignment horizontal="center" vertical="center" wrapText="1"/>
    </xf>
    <xf numFmtId="177" fontId="4" fillId="13" borderId="3" xfId="6" applyNumberFormat="1" applyFont="1" applyFill="1" applyBorder="1">
      <alignment vertical="center"/>
    </xf>
    <xf numFmtId="41" fontId="0" fillId="13" borderId="3" xfId="6" applyFont="1" applyFill="1" applyBorder="1">
      <alignment vertical="center"/>
    </xf>
    <xf numFmtId="0" fontId="15" fillId="0" borderId="7" xfId="4" applyFont="1" applyFill="1" applyBorder="1" applyAlignment="1">
      <alignment horizontal="center" vertical="center" wrapText="1"/>
    </xf>
    <xf numFmtId="0" fontId="14" fillId="4" borderId="1" xfId="5" applyFont="1" applyFill="1" applyBorder="1" applyAlignment="1">
      <alignment horizontal="center" vertical="center"/>
    </xf>
    <xf numFmtId="0" fontId="14" fillId="4" borderId="11" xfId="5" applyFont="1" applyFill="1" applyBorder="1" applyAlignment="1">
      <alignment horizontal="center" vertical="center"/>
    </xf>
    <xf numFmtId="0" fontId="14" fillId="4" borderId="5" xfId="5" applyFont="1" applyFill="1" applyBorder="1" applyAlignment="1">
      <alignment horizontal="center" vertical="center"/>
    </xf>
    <xf numFmtId="0" fontId="4" fillId="14" borderId="4" xfId="5" applyFill="1" applyBorder="1" applyAlignment="1">
      <alignment horizontal="center" vertical="center" wrapText="1"/>
    </xf>
    <xf numFmtId="0" fontId="4" fillId="14" borderId="6" xfId="5" applyFill="1" applyBorder="1" applyAlignment="1">
      <alignment horizontal="center" vertical="center" wrapText="1"/>
    </xf>
    <xf numFmtId="0" fontId="4" fillId="14" borderId="7" xfId="5" applyFill="1" applyBorder="1" applyAlignment="1">
      <alignment horizontal="center" vertical="center" wrapText="1"/>
    </xf>
    <xf numFmtId="41" fontId="0" fillId="4" borderId="3" xfId="6" applyFont="1" applyFill="1" applyBorder="1">
      <alignment vertical="center"/>
    </xf>
    <xf numFmtId="41" fontId="15" fillId="13" borderId="3" xfId="6" applyFont="1" applyFill="1" applyBorder="1">
      <alignment vertical="center"/>
    </xf>
    <xf numFmtId="0" fontId="20" fillId="13" borderId="3" xfId="5" applyFont="1" applyFill="1" applyBorder="1">
      <alignment vertical="center"/>
    </xf>
    <xf numFmtId="41" fontId="15" fillId="0" borderId="3" xfId="6" applyFont="1" applyFill="1" applyBorder="1">
      <alignment vertical="center"/>
    </xf>
    <xf numFmtId="41" fontId="4" fillId="0" borderId="3" xfId="5" applyNumberFormat="1" applyBorder="1">
      <alignment vertical="center"/>
    </xf>
    <xf numFmtId="0" fontId="14" fillId="3" borderId="1" xfId="5" applyFont="1" applyFill="1" applyBorder="1" applyAlignment="1">
      <alignment horizontal="center" vertical="center"/>
    </xf>
    <xf numFmtId="0" fontId="14" fillId="3" borderId="11" xfId="5" applyFont="1" applyFill="1" applyBorder="1" applyAlignment="1">
      <alignment horizontal="center" vertical="center"/>
    </xf>
    <xf numFmtId="0" fontId="14" fillId="3" borderId="5" xfId="5" applyFont="1" applyFill="1" applyBorder="1" applyAlignment="1">
      <alignment horizontal="center" vertical="center"/>
    </xf>
    <xf numFmtId="9" fontId="0" fillId="3" borderId="3" xfId="6" applyNumberFormat="1" applyFont="1" applyFill="1" applyBorder="1">
      <alignment vertical="center"/>
    </xf>
    <xf numFmtId="0" fontId="23" fillId="15" borderId="1" xfId="5" applyFont="1" applyFill="1" applyBorder="1" applyAlignment="1">
      <alignment horizontal="center" vertical="center"/>
    </xf>
    <xf numFmtId="0" fontId="23" fillId="15" borderId="11" xfId="5" applyFont="1" applyFill="1" applyBorder="1" applyAlignment="1">
      <alignment horizontal="center" vertical="center"/>
    </xf>
    <xf numFmtId="0" fontId="23" fillId="15" borderId="5" xfId="5" applyFont="1" applyFill="1" applyBorder="1" applyAlignment="1">
      <alignment horizontal="center" vertical="center"/>
    </xf>
    <xf numFmtId="0" fontId="4" fillId="0" borderId="2" xfId="5" applyBorder="1" applyAlignment="1">
      <alignment horizontal="center" vertical="center"/>
    </xf>
    <xf numFmtId="9" fontId="4" fillId="0" borderId="1" xfId="3" applyFont="1" applyFill="1" applyBorder="1">
      <alignment vertical="center"/>
    </xf>
    <xf numFmtId="0" fontId="4" fillId="0" borderId="12" xfId="5" applyBorder="1" applyAlignment="1">
      <alignment horizontal="center" vertical="center"/>
    </xf>
    <xf numFmtId="0" fontId="4" fillId="15" borderId="11" xfId="5" applyFill="1" applyBorder="1" applyAlignment="1">
      <alignment horizontal="center" vertical="center"/>
    </xf>
    <xf numFmtId="0" fontId="4" fillId="15" borderId="5" xfId="5" applyFill="1" applyBorder="1" applyAlignment="1">
      <alignment horizontal="center" vertical="center"/>
    </xf>
    <xf numFmtId="41" fontId="4" fillId="15" borderId="3" xfId="6" applyFont="1" applyFill="1" applyBorder="1">
      <alignment vertical="center"/>
    </xf>
    <xf numFmtId="9" fontId="4" fillId="15" borderId="1" xfId="3" applyFont="1" applyFill="1" applyBorder="1">
      <alignment vertical="center"/>
    </xf>
    <xf numFmtId="0" fontId="4" fillId="0" borderId="1" xfId="5" applyBorder="1">
      <alignment vertical="center"/>
    </xf>
    <xf numFmtId="0" fontId="4" fillId="0" borderId="13" xfId="5" applyBorder="1" applyAlignment="1">
      <alignment horizontal="center" vertical="center"/>
    </xf>
    <xf numFmtId="0" fontId="4" fillId="15" borderId="3" xfId="5" applyFill="1" applyBorder="1">
      <alignment vertical="center"/>
    </xf>
    <xf numFmtId="0" fontId="4" fillId="0" borderId="2" xfId="5" applyBorder="1" applyAlignment="1">
      <alignment horizontal="center" vertical="center" wrapText="1"/>
    </xf>
    <xf numFmtId="0" fontId="15" fillId="0" borderId="1" xfId="5" applyFont="1" applyBorder="1">
      <alignment vertical="center"/>
    </xf>
    <xf numFmtId="0" fontId="15" fillId="13" borderId="1" xfId="5" applyFont="1" applyFill="1" applyBorder="1">
      <alignment vertical="center"/>
    </xf>
    <xf numFmtId="0" fontId="4" fillId="13" borderId="1" xfId="5" applyFill="1" applyBorder="1">
      <alignment vertical="center"/>
    </xf>
    <xf numFmtId="0" fontId="15" fillId="0" borderId="3" xfId="5" applyFont="1" applyBorder="1">
      <alignment vertical="center"/>
    </xf>
    <xf numFmtId="0" fontId="15" fillId="0" borderId="10" xfId="5" applyFont="1" applyBorder="1">
      <alignment vertical="center"/>
    </xf>
    <xf numFmtId="41" fontId="15" fillId="0" borderId="10" xfId="6" applyFont="1" applyFill="1" applyBorder="1">
      <alignment vertical="center"/>
    </xf>
    <xf numFmtId="0" fontId="15" fillId="0" borderId="7" xfId="5" applyFont="1" applyBorder="1">
      <alignment vertical="center"/>
    </xf>
    <xf numFmtId="180" fontId="4" fillId="0" borderId="0" xfId="5" applyNumberFormat="1">
      <alignment vertical="center"/>
    </xf>
    <xf numFmtId="176" fontId="4" fillId="15" borderId="3" xfId="6" applyNumberFormat="1" applyFont="1" applyFill="1" applyBorder="1">
      <alignment vertical="center"/>
    </xf>
    <xf numFmtId="0" fontId="4" fillId="15" borderId="1" xfId="5" applyFill="1" applyBorder="1">
      <alignment vertical="center"/>
    </xf>
    <xf numFmtId="181" fontId="4" fillId="0" borderId="0" xfId="5" applyNumberFormat="1">
      <alignment vertical="center"/>
    </xf>
    <xf numFmtId="182" fontId="4" fillId="0" borderId="3" xfId="6" applyNumberFormat="1" applyFont="1" applyFill="1" applyBorder="1">
      <alignment vertical="center"/>
    </xf>
    <xf numFmtId="183" fontId="4" fillId="0" borderId="3" xfId="6" applyNumberFormat="1" applyFont="1" applyFill="1" applyBorder="1">
      <alignment vertical="center"/>
    </xf>
    <xf numFmtId="184" fontId="4" fillId="0" borderId="3" xfId="6" applyNumberFormat="1" applyFont="1" applyFill="1" applyBorder="1">
      <alignment vertical="center"/>
    </xf>
    <xf numFmtId="0" fontId="4" fillId="0" borderId="12" xfId="5" applyBorder="1" applyAlignment="1">
      <alignment horizontal="center" vertical="center" wrapText="1"/>
    </xf>
    <xf numFmtId="180" fontId="4" fillId="0" borderId="3" xfId="6" applyNumberFormat="1" applyFont="1" applyFill="1" applyBorder="1">
      <alignment vertical="center"/>
    </xf>
    <xf numFmtId="0" fontId="4" fillId="0" borderId="14" xfId="5" applyBorder="1">
      <alignment vertical="center"/>
    </xf>
    <xf numFmtId="182" fontId="4" fillId="0" borderId="15" xfId="6" applyNumberFormat="1" applyFont="1" applyFill="1" applyBorder="1">
      <alignment vertical="center"/>
    </xf>
    <xf numFmtId="41" fontId="4" fillId="0" borderId="15" xfId="6" applyFont="1" applyFill="1" applyBorder="1">
      <alignment vertical="center"/>
    </xf>
    <xf numFmtId="184" fontId="4" fillId="0" borderId="15" xfId="6" applyNumberFormat="1" applyFont="1" applyFill="1" applyBorder="1">
      <alignment vertical="center"/>
    </xf>
    <xf numFmtId="0" fontId="4" fillId="0" borderId="15" xfId="5" applyBorder="1">
      <alignment vertical="center"/>
    </xf>
    <xf numFmtId="0" fontId="15" fillId="0" borderId="16" xfId="5" applyFont="1" applyBorder="1">
      <alignment vertical="center"/>
    </xf>
    <xf numFmtId="0" fontId="4" fillId="0" borderId="17" xfId="5" applyBorder="1">
      <alignment vertical="center"/>
    </xf>
    <xf numFmtId="181" fontId="4" fillId="0" borderId="0" xfId="1" applyNumberFormat="1" applyFont="1">
      <alignment vertical="center"/>
    </xf>
    <xf numFmtId="0" fontId="25" fillId="0" borderId="5" xfId="5" applyFont="1" applyBorder="1">
      <alignment vertical="center"/>
    </xf>
    <xf numFmtId="0" fontId="28" fillId="0" borderId="5" xfId="5" applyFont="1" applyBorder="1">
      <alignment vertical="center"/>
    </xf>
    <xf numFmtId="0" fontId="4" fillId="7" borderId="5" xfId="5" applyFill="1" applyBorder="1">
      <alignment vertical="center"/>
    </xf>
    <xf numFmtId="182" fontId="4" fillId="7" borderId="3" xfId="6" applyNumberFormat="1" applyFont="1" applyFill="1" applyBorder="1">
      <alignment vertical="center"/>
    </xf>
    <xf numFmtId="41" fontId="4" fillId="7" borderId="3" xfId="6" applyFont="1" applyFill="1" applyBorder="1">
      <alignment vertical="center"/>
    </xf>
    <xf numFmtId="184" fontId="4" fillId="7" borderId="3" xfId="6" applyNumberFormat="1" applyFont="1" applyFill="1" applyBorder="1">
      <alignment vertical="center"/>
    </xf>
    <xf numFmtId="0" fontId="15" fillId="7" borderId="1" xfId="5" applyFont="1" applyFill="1" applyBorder="1">
      <alignment vertical="center"/>
    </xf>
    <xf numFmtId="183" fontId="4" fillId="7" borderId="3" xfId="6" applyNumberFormat="1" applyFont="1" applyFill="1" applyBorder="1">
      <alignment vertical="center"/>
    </xf>
    <xf numFmtId="0" fontId="4" fillId="7" borderId="13" xfId="5" applyFill="1" applyBorder="1">
      <alignment vertical="center"/>
    </xf>
    <xf numFmtId="182" fontId="4" fillId="7" borderId="10" xfId="6" applyNumberFormat="1" applyFont="1" applyFill="1" applyBorder="1">
      <alignment vertical="center"/>
    </xf>
    <xf numFmtId="41" fontId="4" fillId="7" borderId="10" xfId="6" applyFont="1" applyFill="1" applyBorder="1">
      <alignment vertical="center"/>
    </xf>
    <xf numFmtId="184" fontId="4" fillId="7" borderId="10" xfId="6" applyNumberFormat="1" applyFont="1" applyFill="1" applyBorder="1">
      <alignment vertical="center"/>
    </xf>
    <xf numFmtId="0" fontId="4" fillId="7" borderId="10" xfId="5" applyFill="1" applyBorder="1">
      <alignment vertical="center"/>
    </xf>
    <xf numFmtId="0" fontId="15" fillId="7" borderId="7" xfId="5" applyFont="1" applyFill="1" applyBorder="1">
      <alignment vertical="center"/>
    </xf>
    <xf numFmtId="0" fontId="28" fillId="7" borderId="5" xfId="5" applyFont="1" applyFill="1" applyBorder="1">
      <alignment vertical="center"/>
    </xf>
    <xf numFmtId="176" fontId="4" fillId="7" borderId="3" xfId="6" applyNumberFormat="1" applyFont="1" applyFill="1" applyBorder="1">
      <alignment vertical="center"/>
    </xf>
    <xf numFmtId="0" fontId="0" fillId="7" borderId="5" xfId="5" applyFont="1" applyFill="1" applyBorder="1">
      <alignment vertical="center"/>
    </xf>
    <xf numFmtId="182" fontId="0" fillId="7" borderId="3" xfId="6" applyNumberFormat="1" applyFont="1" applyFill="1" applyBorder="1">
      <alignment vertical="center"/>
    </xf>
    <xf numFmtId="41" fontId="0" fillId="7" borderId="3" xfId="6" applyFont="1" applyFill="1" applyBorder="1">
      <alignment vertical="center"/>
    </xf>
    <xf numFmtId="177" fontId="0" fillId="7" borderId="3" xfId="6" applyNumberFormat="1" applyFont="1" applyFill="1" applyBorder="1">
      <alignment vertical="center"/>
    </xf>
    <xf numFmtId="184" fontId="0" fillId="7" borderId="3" xfId="6" applyNumberFormat="1" applyFont="1" applyFill="1" applyBorder="1">
      <alignment vertical="center"/>
    </xf>
    <xf numFmtId="0" fontId="0" fillId="7" borderId="3" xfId="5" applyFont="1" applyFill="1" applyBorder="1">
      <alignment vertical="center"/>
    </xf>
    <xf numFmtId="180" fontId="0" fillId="7" borderId="3" xfId="6" applyNumberFormat="1" applyFont="1" applyFill="1" applyBorder="1">
      <alignment vertical="center"/>
    </xf>
    <xf numFmtId="0" fontId="0" fillId="7" borderId="2" xfId="5" applyFont="1" applyFill="1" applyBorder="1">
      <alignment vertical="center"/>
    </xf>
    <xf numFmtId="182" fontId="0" fillId="7" borderId="8" xfId="6" applyNumberFormat="1" applyFont="1" applyFill="1" applyBorder="1">
      <alignment vertical="center"/>
    </xf>
    <xf numFmtId="41" fontId="0" fillId="7" borderId="8" xfId="6" applyFont="1" applyFill="1" applyBorder="1">
      <alignment vertical="center"/>
    </xf>
    <xf numFmtId="184" fontId="0" fillId="7" borderId="8" xfId="6" applyNumberFormat="1" applyFont="1" applyFill="1" applyBorder="1">
      <alignment vertical="center"/>
    </xf>
    <xf numFmtId="0" fontId="0" fillId="7" borderId="8" xfId="5" applyFont="1" applyFill="1" applyBorder="1">
      <alignment vertical="center"/>
    </xf>
    <xf numFmtId="0" fontId="15" fillId="7" borderId="4" xfId="5" applyFont="1" applyFill="1" applyBorder="1">
      <alignment vertical="center"/>
    </xf>
    <xf numFmtId="0" fontId="4" fillId="15" borderId="5" xfId="5" applyFill="1" applyBorder="1">
      <alignment vertical="center"/>
    </xf>
    <xf numFmtId="41" fontId="0" fillId="15" borderId="3" xfId="6" applyFont="1" applyFill="1" applyBorder="1">
      <alignment vertical="center"/>
    </xf>
    <xf numFmtId="176" fontId="0" fillId="15" borderId="3" xfId="6" applyNumberFormat="1" applyFont="1" applyFill="1" applyBorder="1">
      <alignment vertical="center"/>
    </xf>
    <xf numFmtId="182" fontId="0" fillId="15" borderId="3" xfId="6" applyNumberFormat="1" applyFont="1" applyFill="1" applyBorder="1">
      <alignment vertical="center"/>
    </xf>
    <xf numFmtId="184" fontId="0" fillId="15" borderId="3" xfId="6" applyNumberFormat="1" applyFont="1" applyFill="1" applyBorder="1">
      <alignment vertical="center"/>
    </xf>
    <xf numFmtId="0" fontId="0" fillId="15" borderId="3" xfId="5" applyFont="1" applyFill="1" applyBorder="1">
      <alignment vertical="center"/>
    </xf>
    <xf numFmtId="0" fontId="15" fillId="15" borderId="3" xfId="5" applyFont="1" applyFill="1" applyBorder="1">
      <alignment vertical="center"/>
    </xf>
    <xf numFmtId="181" fontId="4" fillId="0" borderId="0" xfId="2" applyNumberFormat="1" applyFont="1">
      <alignment vertical="center"/>
    </xf>
    <xf numFmtId="0" fontId="23" fillId="0" borderId="1" xfId="5" applyFont="1" applyBorder="1" applyAlignment="1">
      <alignment horizontal="center" vertical="center"/>
    </xf>
    <xf numFmtId="0" fontId="23" fillId="0" borderId="11" xfId="5" applyFont="1" applyBorder="1" applyAlignment="1">
      <alignment horizontal="center" vertical="center"/>
    </xf>
    <xf numFmtId="41" fontId="4" fillId="0" borderId="15" xfId="1" applyFont="1" applyBorder="1">
      <alignment vertical="center"/>
    </xf>
    <xf numFmtId="0" fontId="4" fillId="0" borderId="15" xfId="5" applyBorder="1" applyAlignment="1">
      <alignment horizontal="center" vertical="center"/>
    </xf>
    <xf numFmtId="0" fontId="4" fillId="7" borderId="2" xfId="5" applyFill="1" applyBorder="1">
      <alignment vertical="center"/>
    </xf>
    <xf numFmtId="0" fontId="4" fillId="7" borderId="8" xfId="5" applyFill="1" applyBorder="1">
      <alignment vertical="center"/>
    </xf>
    <xf numFmtId="41" fontId="4" fillId="7" borderId="8" xfId="1" applyFont="1" applyFill="1" applyBorder="1">
      <alignment vertical="center"/>
    </xf>
    <xf numFmtId="41" fontId="0" fillId="7" borderId="18" xfId="1" applyFont="1" applyFill="1" applyBorder="1">
      <alignment vertical="center"/>
    </xf>
    <xf numFmtId="41" fontId="0" fillId="7" borderId="3" xfId="1" applyFont="1" applyFill="1" applyBorder="1">
      <alignment vertical="center"/>
    </xf>
    <xf numFmtId="41" fontId="4" fillId="7" borderId="3" xfId="1" applyFont="1" applyFill="1" applyBorder="1">
      <alignment vertical="center"/>
    </xf>
    <xf numFmtId="41" fontId="4" fillId="7" borderId="10" xfId="1" applyFont="1" applyFill="1" applyBorder="1">
      <alignment vertical="center"/>
    </xf>
    <xf numFmtId="0" fontId="28" fillId="7" borderId="13" xfId="5" applyFont="1" applyFill="1" applyBorder="1">
      <alignment vertical="center"/>
    </xf>
    <xf numFmtId="0" fontId="15" fillId="7" borderId="10" xfId="5" applyFont="1" applyFill="1" applyBorder="1">
      <alignment vertical="center"/>
    </xf>
    <xf numFmtId="0" fontId="15" fillId="7" borderId="3" xfId="5" applyFont="1" applyFill="1" applyBorder="1">
      <alignment vertical="center"/>
    </xf>
    <xf numFmtId="0" fontId="4" fillId="0" borderId="13" xfId="5" applyBorder="1" applyAlignment="1">
      <alignment horizontal="center" vertical="center" wrapText="1"/>
    </xf>
    <xf numFmtId="41" fontId="4" fillId="15" borderId="3" xfId="1" applyFont="1" applyFill="1" applyBorder="1">
      <alignment vertical="center"/>
    </xf>
    <xf numFmtId="9" fontId="4" fillId="15" borderId="3" xfId="3" applyFont="1" applyFill="1" applyBorder="1">
      <alignment vertical="center"/>
    </xf>
    <xf numFmtId="0" fontId="14" fillId="15" borderId="1" xfId="5" applyFont="1" applyFill="1" applyBorder="1" applyAlignment="1">
      <alignment horizontal="center" vertical="center"/>
    </xf>
    <xf numFmtId="0" fontId="14" fillId="15" borderId="11" xfId="5" applyFont="1" applyFill="1" applyBorder="1" applyAlignment="1">
      <alignment horizontal="center" vertical="center"/>
    </xf>
    <xf numFmtId="0" fontId="14" fillId="15" borderId="5" xfId="5" applyFont="1" applyFill="1" applyBorder="1" applyAlignment="1">
      <alignment horizontal="center" vertical="center"/>
    </xf>
    <xf numFmtId="0" fontId="14" fillId="16" borderId="19" xfId="5" applyFont="1" applyFill="1" applyBorder="1">
      <alignment vertical="center"/>
    </xf>
    <xf numFmtId="41" fontId="14" fillId="16" borderId="19" xfId="5" applyNumberFormat="1" applyFont="1" applyFill="1" applyBorder="1">
      <alignment vertical="center"/>
    </xf>
    <xf numFmtId="41" fontId="3" fillId="16" borderId="19" xfId="5" applyNumberFormat="1" applyFont="1" applyFill="1" applyBorder="1">
      <alignment vertical="center"/>
    </xf>
  </cellXfs>
  <cellStyles count="7">
    <cellStyle name="백분율" xfId="3" builtinId="5"/>
    <cellStyle name="보통" xfId="4" builtinId="28"/>
    <cellStyle name="쉼표 [0]" xfId="1" builtinId="6"/>
    <cellStyle name="쉼표 [0] 2" xfId="6" xr:uid="{2C9E8C9D-8BB4-4C5A-9F69-17974C487A6B}"/>
    <cellStyle name="통화 [0]" xfId="2" builtinId="7"/>
    <cellStyle name="표준" xfId="0" builtinId="0"/>
    <cellStyle name="표준 2" xfId="5" xr:uid="{50E01ED5-056C-4B5F-88D4-4D8715B21B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32448-A2B8-4E62-8F99-90B3545F9EF2}">
  <sheetPr>
    <tabColor theme="9"/>
    <pageSetUpPr fitToPage="1"/>
  </sheetPr>
  <dimension ref="B1:P1180"/>
  <sheetViews>
    <sheetView tabSelected="1" zoomScaleNormal="100" zoomScaleSheetLayoutView="100" workbookViewId="0">
      <pane xSplit="2" ySplit="3" topLeftCell="C964" activePane="bottomRight" state="frozen"/>
      <selection pane="topRight" activeCell="R12" sqref="R12"/>
      <selection pane="bottomLeft" activeCell="R12" sqref="R12"/>
      <selection pane="bottomRight" activeCell="G998" sqref="G998"/>
    </sheetView>
  </sheetViews>
  <sheetFormatPr defaultColWidth="8.5" defaultRowHeight="16.5"/>
  <cols>
    <col min="1" max="1" width="4" style="1" customWidth="1"/>
    <col min="2" max="2" width="16.125" style="1" customWidth="1"/>
    <col min="3" max="3" width="3.75" style="1" customWidth="1"/>
    <col min="4" max="4" width="56.75" style="1" customWidth="1"/>
    <col min="5" max="5" width="12" style="1" customWidth="1"/>
    <col min="6" max="6" width="11.25" style="1" customWidth="1"/>
    <col min="7" max="7" width="15.125" style="1" customWidth="1"/>
    <col min="8" max="8" width="13.125" style="1" customWidth="1"/>
    <col min="9" max="9" width="14.75" style="1" customWidth="1"/>
    <col min="10" max="10" width="14" style="1" customWidth="1"/>
    <col min="11" max="11" width="13.125" style="1" customWidth="1"/>
    <col min="12" max="12" width="13.625" style="1" customWidth="1"/>
    <col min="13" max="13" width="20.5" style="1" customWidth="1"/>
    <col min="14" max="14" width="13" style="1" bestFit="1" customWidth="1"/>
    <col min="15" max="15" width="12.875" style="1" bestFit="1" customWidth="1"/>
    <col min="16" max="16" width="11" style="1" customWidth="1"/>
    <col min="17" max="17" width="10.5" style="1" bestFit="1" customWidth="1"/>
    <col min="18" max="16384" width="8.5" style="1"/>
  </cols>
  <sheetData>
    <row r="1" spans="2:13">
      <c r="G1" s="2"/>
    </row>
    <row r="2" spans="2:13" ht="33.75">
      <c r="B2" s="3" t="s">
        <v>0</v>
      </c>
      <c r="F2" s="2"/>
      <c r="G2" s="2"/>
      <c r="H2" s="2"/>
      <c r="I2" s="4"/>
      <c r="J2" s="2"/>
    </row>
    <row r="3" spans="2:13" ht="26.1" customHeight="1">
      <c r="B3" s="5" t="s">
        <v>1</v>
      </c>
      <c r="C3" s="6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8" t="s">
        <v>9</v>
      </c>
      <c r="K3" s="7" t="s">
        <v>10</v>
      </c>
      <c r="L3" s="7" t="s">
        <v>11</v>
      </c>
      <c r="M3" s="7" t="s">
        <v>12</v>
      </c>
    </row>
    <row r="4" spans="2:13" ht="27" customHeight="1">
      <c r="B4" s="9" t="s">
        <v>13</v>
      </c>
      <c r="C4" s="10" t="s">
        <v>14</v>
      </c>
      <c r="D4" s="11" t="s">
        <v>15</v>
      </c>
      <c r="E4" s="12">
        <v>10500</v>
      </c>
      <c r="F4" s="12"/>
      <c r="G4" s="12">
        <f t="shared" ref="G4:G11" si="0">E4*F4</f>
        <v>0</v>
      </c>
      <c r="H4" s="12">
        <f t="shared" ref="H4:H11" si="1">G4/10</f>
        <v>0</v>
      </c>
      <c r="I4" s="12">
        <f t="shared" ref="I4:I11" si="2">G4+H4</f>
        <v>0</v>
      </c>
      <c r="J4" s="12">
        <v>7333</v>
      </c>
      <c r="K4" s="12">
        <f t="shared" ref="K4:K11" si="3">E4-J4</f>
        <v>3167</v>
      </c>
      <c r="L4" s="12">
        <f t="shared" ref="L4:L11" si="4">F4*K4</f>
        <v>0</v>
      </c>
      <c r="M4" s="11" t="s">
        <v>16</v>
      </c>
    </row>
    <row r="5" spans="2:13" ht="27" customHeight="1">
      <c r="B5" s="13"/>
      <c r="C5" s="10" t="s">
        <v>17</v>
      </c>
      <c r="D5" s="11" t="s">
        <v>18</v>
      </c>
      <c r="E5" s="12">
        <v>8500</v>
      </c>
      <c r="F5" s="12"/>
      <c r="G5" s="12">
        <f t="shared" si="0"/>
        <v>0</v>
      </c>
      <c r="H5" s="12">
        <f t="shared" si="1"/>
        <v>0</v>
      </c>
      <c r="I5" s="12">
        <f t="shared" si="2"/>
        <v>0</v>
      </c>
      <c r="J5" s="12">
        <v>6540</v>
      </c>
      <c r="K5" s="12">
        <f t="shared" si="3"/>
        <v>1960</v>
      </c>
      <c r="L5" s="12">
        <f t="shared" si="4"/>
        <v>0</v>
      </c>
      <c r="M5" s="11"/>
    </row>
    <row r="6" spans="2:13" ht="27" customHeight="1">
      <c r="B6" s="13"/>
      <c r="C6" s="10" t="s">
        <v>17</v>
      </c>
      <c r="D6" s="14" t="s">
        <v>19</v>
      </c>
      <c r="E6" s="12">
        <v>8500</v>
      </c>
      <c r="F6" s="12"/>
      <c r="G6" s="12">
        <f t="shared" si="0"/>
        <v>0</v>
      </c>
      <c r="H6" s="12">
        <f t="shared" si="1"/>
        <v>0</v>
      </c>
      <c r="I6" s="12">
        <f t="shared" si="2"/>
        <v>0</v>
      </c>
      <c r="J6" s="12">
        <v>6590</v>
      </c>
      <c r="K6" s="12">
        <f t="shared" si="3"/>
        <v>1910</v>
      </c>
      <c r="L6" s="12">
        <f t="shared" si="4"/>
        <v>0</v>
      </c>
      <c r="M6" s="11"/>
    </row>
    <row r="7" spans="2:13" ht="27" customHeight="1">
      <c r="B7" s="13"/>
      <c r="C7" s="10" t="s">
        <v>20</v>
      </c>
      <c r="D7" s="11" t="s">
        <v>21</v>
      </c>
      <c r="E7" s="12">
        <v>500</v>
      </c>
      <c r="F7" s="12"/>
      <c r="G7" s="12">
        <f t="shared" si="0"/>
        <v>0</v>
      </c>
      <c r="H7" s="12">
        <f t="shared" si="1"/>
        <v>0</v>
      </c>
      <c r="I7" s="12">
        <f t="shared" si="2"/>
        <v>0</v>
      </c>
      <c r="J7" s="12"/>
      <c r="K7" s="12">
        <f t="shared" si="3"/>
        <v>500</v>
      </c>
      <c r="L7" s="12">
        <f t="shared" si="4"/>
        <v>0</v>
      </c>
      <c r="M7" s="11"/>
    </row>
    <row r="8" spans="2:13" ht="27" customHeight="1">
      <c r="B8" s="13"/>
      <c r="C8" s="10" t="s">
        <v>20</v>
      </c>
      <c r="D8" s="11" t="s">
        <v>22</v>
      </c>
      <c r="E8" s="12">
        <v>900</v>
      </c>
      <c r="F8" s="12"/>
      <c r="G8" s="12">
        <f t="shared" si="0"/>
        <v>0</v>
      </c>
      <c r="H8" s="12">
        <f t="shared" si="1"/>
        <v>0</v>
      </c>
      <c r="I8" s="12">
        <f t="shared" si="2"/>
        <v>0</v>
      </c>
      <c r="J8" s="12"/>
      <c r="K8" s="12">
        <f t="shared" si="3"/>
        <v>900</v>
      </c>
      <c r="L8" s="12">
        <f t="shared" si="4"/>
        <v>0</v>
      </c>
      <c r="M8" s="11"/>
    </row>
    <row r="9" spans="2:13" ht="27" customHeight="1">
      <c r="B9" s="13"/>
      <c r="C9" s="10" t="s">
        <v>23</v>
      </c>
      <c r="D9" s="11" t="s">
        <v>24</v>
      </c>
      <c r="E9" s="12">
        <v>810</v>
      </c>
      <c r="F9" s="12"/>
      <c r="G9" s="12">
        <f t="shared" si="0"/>
        <v>0</v>
      </c>
      <c r="H9" s="12">
        <f t="shared" si="1"/>
        <v>0</v>
      </c>
      <c r="I9" s="12">
        <f t="shared" si="2"/>
        <v>0</v>
      </c>
      <c r="J9" s="12">
        <v>690</v>
      </c>
      <c r="K9" s="12">
        <f t="shared" si="3"/>
        <v>120</v>
      </c>
      <c r="L9" s="12">
        <f t="shared" si="4"/>
        <v>0</v>
      </c>
      <c r="M9" s="11"/>
    </row>
    <row r="10" spans="2:13" ht="27" customHeight="1">
      <c r="B10" s="13"/>
      <c r="C10" s="10" t="s">
        <v>23</v>
      </c>
      <c r="D10" s="15" t="s">
        <v>25</v>
      </c>
      <c r="E10" s="12">
        <v>810</v>
      </c>
      <c r="F10" s="12"/>
      <c r="G10" s="12">
        <f t="shared" si="0"/>
        <v>0</v>
      </c>
      <c r="H10" s="12">
        <f t="shared" si="1"/>
        <v>0</v>
      </c>
      <c r="I10" s="12">
        <f t="shared" si="2"/>
        <v>0</v>
      </c>
      <c r="J10" s="12">
        <v>690</v>
      </c>
      <c r="K10" s="12">
        <f t="shared" si="3"/>
        <v>120</v>
      </c>
      <c r="L10" s="12">
        <f t="shared" si="4"/>
        <v>0</v>
      </c>
      <c r="M10" s="16"/>
    </row>
    <row r="11" spans="2:13" ht="27" customHeight="1">
      <c r="B11" s="13"/>
      <c r="C11" s="10" t="s">
        <v>23</v>
      </c>
      <c r="D11" s="11" t="s">
        <v>26</v>
      </c>
      <c r="E11" s="12">
        <v>810</v>
      </c>
      <c r="F11" s="12"/>
      <c r="G11" s="12">
        <f t="shared" si="0"/>
        <v>0</v>
      </c>
      <c r="H11" s="12">
        <f t="shared" si="1"/>
        <v>0</v>
      </c>
      <c r="I11" s="12">
        <f t="shared" si="2"/>
        <v>0</v>
      </c>
      <c r="J11" s="12">
        <v>690</v>
      </c>
      <c r="K11" s="12">
        <f t="shared" si="3"/>
        <v>120</v>
      </c>
      <c r="L11" s="12">
        <f t="shared" si="4"/>
        <v>0</v>
      </c>
      <c r="M11" s="11"/>
    </row>
    <row r="12" spans="2:13" ht="27" customHeight="1">
      <c r="B12" s="17"/>
      <c r="C12" s="18"/>
      <c r="D12" s="19" t="s">
        <v>27</v>
      </c>
      <c r="E12" s="20"/>
      <c r="F12" s="20"/>
      <c r="G12" s="20">
        <f>SUM(G4:G11)</f>
        <v>0</v>
      </c>
      <c r="H12" s="20">
        <f>SUM(H4:H11)</f>
        <v>0</v>
      </c>
      <c r="I12" s="20">
        <f>SUM(I4:I11)</f>
        <v>0</v>
      </c>
      <c r="J12" s="20"/>
      <c r="K12" s="21"/>
      <c r="L12" s="21">
        <f>SUM(L4:L11)</f>
        <v>0</v>
      </c>
      <c r="M12" s="22"/>
    </row>
    <row r="13" spans="2:13" ht="27" customHeight="1">
      <c r="B13" s="9" t="s">
        <v>28</v>
      </c>
      <c r="C13" s="10" t="s">
        <v>20</v>
      </c>
      <c r="D13" s="11" t="s">
        <v>29</v>
      </c>
      <c r="E13" s="12">
        <v>1030</v>
      </c>
      <c r="F13" s="23"/>
      <c r="G13" s="23">
        <f t="shared" ref="G13:G25" si="5">E13*F13</f>
        <v>0</v>
      </c>
      <c r="H13" s="12">
        <f t="shared" ref="H13:H57" si="6">G13/10</f>
        <v>0</v>
      </c>
      <c r="I13" s="12">
        <f t="shared" ref="I13:I57" si="7">G13+H13</f>
        <v>0</v>
      </c>
      <c r="J13" s="23">
        <v>430</v>
      </c>
      <c r="K13" s="23">
        <f t="shared" ref="K13:K25" si="8">E13-J13</f>
        <v>600</v>
      </c>
      <c r="L13" s="23">
        <f t="shared" ref="L13:L25" si="9">F13*K13</f>
        <v>0</v>
      </c>
      <c r="M13" s="11"/>
    </row>
    <row r="14" spans="2:13" ht="27" customHeight="1">
      <c r="B14" s="13"/>
      <c r="C14" s="10" t="s">
        <v>20</v>
      </c>
      <c r="D14" s="11" t="s">
        <v>30</v>
      </c>
      <c r="E14" s="12">
        <v>1030</v>
      </c>
      <c r="F14" s="23"/>
      <c r="G14" s="23">
        <f t="shared" si="5"/>
        <v>0</v>
      </c>
      <c r="H14" s="12">
        <f t="shared" si="6"/>
        <v>0</v>
      </c>
      <c r="I14" s="12">
        <f t="shared" si="7"/>
        <v>0</v>
      </c>
      <c r="J14" s="23">
        <v>1050</v>
      </c>
      <c r="K14" s="23">
        <f t="shared" si="8"/>
        <v>-20</v>
      </c>
      <c r="L14" s="23">
        <f t="shared" si="9"/>
        <v>0</v>
      </c>
      <c r="M14" s="11"/>
    </row>
    <row r="15" spans="2:13" ht="27" customHeight="1">
      <c r="B15" s="13"/>
      <c r="C15" s="10" t="s">
        <v>20</v>
      </c>
      <c r="D15" s="24" t="s">
        <v>31</v>
      </c>
      <c r="E15" s="12">
        <v>1090</v>
      </c>
      <c r="F15" s="25"/>
      <c r="G15" s="25">
        <f t="shared" si="5"/>
        <v>0</v>
      </c>
      <c r="H15" s="25">
        <f t="shared" si="6"/>
        <v>0</v>
      </c>
      <c r="I15" s="25">
        <f t="shared" si="7"/>
        <v>0</v>
      </c>
      <c r="J15" s="25">
        <v>1050</v>
      </c>
      <c r="K15" s="25">
        <f t="shared" si="8"/>
        <v>40</v>
      </c>
      <c r="L15" s="25">
        <f t="shared" si="9"/>
        <v>0</v>
      </c>
      <c r="M15" s="24"/>
    </row>
    <row r="16" spans="2:13" ht="27" customHeight="1">
      <c r="B16" s="13"/>
      <c r="C16" s="10" t="s">
        <v>23</v>
      </c>
      <c r="D16" s="11" t="s">
        <v>32</v>
      </c>
      <c r="E16" s="12">
        <v>450</v>
      </c>
      <c r="F16" s="23"/>
      <c r="G16" s="23">
        <f t="shared" si="5"/>
        <v>0</v>
      </c>
      <c r="H16" s="12">
        <f t="shared" si="6"/>
        <v>0</v>
      </c>
      <c r="I16" s="12">
        <f t="shared" si="7"/>
        <v>0</v>
      </c>
      <c r="J16" s="23">
        <v>400</v>
      </c>
      <c r="K16" s="23">
        <f t="shared" si="8"/>
        <v>50</v>
      </c>
      <c r="L16" s="23">
        <f t="shared" si="9"/>
        <v>0</v>
      </c>
      <c r="M16" s="11"/>
    </row>
    <row r="17" spans="2:13" ht="27" customHeight="1">
      <c r="B17" s="13"/>
      <c r="C17" s="10" t="s">
        <v>20</v>
      </c>
      <c r="D17" s="11" t="s">
        <v>33</v>
      </c>
      <c r="E17" s="12">
        <v>700</v>
      </c>
      <c r="F17" s="23"/>
      <c r="G17" s="23">
        <f t="shared" si="5"/>
        <v>0</v>
      </c>
      <c r="H17" s="12">
        <f t="shared" si="6"/>
        <v>0</v>
      </c>
      <c r="I17" s="12">
        <f t="shared" si="7"/>
        <v>0</v>
      </c>
      <c r="J17" s="23">
        <v>420</v>
      </c>
      <c r="K17" s="23">
        <f t="shared" si="8"/>
        <v>280</v>
      </c>
      <c r="L17" s="23">
        <f t="shared" si="9"/>
        <v>0</v>
      </c>
      <c r="M17" s="11"/>
    </row>
    <row r="18" spans="2:13" ht="27" customHeight="1">
      <c r="B18" s="13"/>
      <c r="C18" s="10" t="s">
        <v>34</v>
      </c>
      <c r="D18" s="11" t="s">
        <v>35</v>
      </c>
      <c r="E18" s="12">
        <v>28600</v>
      </c>
      <c r="F18" s="12"/>
      <c r="G18" s="23">
        <f t="shared" si="5"/>
        <v>0</v>
      </c>
      <c r="H18" s="12">
        <f t="shared" si="6"/>
        <v>0</v>
      </c>
      <c r="I18" s="12">
        <f t="shared" si="7"/>
        <v>0</v>
      </c>
      <c r="J18" s="23">
        <v>21460</v>
      </c>
      <c r="K18" s="23">
        <f t="shared" si="8"/>
        <v>7140</v>
      </c>
      <c r="L18" s="23">
        <f t="shared" si="9"/>
        <v>0</v>
      </c>
      <c r="M18" s="11"/>
    </row>
    <row r="19" spans="2:13" ht="27" customHeight="1">
      <c r="B19" s="13"/>
      <c r="C19" s="10" t="s">
        <v>34</v>
      </c>
      <c r="D19" s="11" t="s">
        <v>36</v>
      </c>
      <c r="E19" s="12">
        <v>28600</v>
      </c>
      <c r="F19" s="23"/>
      <c r="G19" s="23">
        <f t="shared" si="5"/>
        <v>0</v>
      </c>
      <c r="H19" s="12">
        <f t="shared" si="6"/>
        <v>0</v>
      </c>
      <c r="I19" s="12">
        <f t="shared" si="7"/>
        <v>0</v>
      </c>
      <c r="J19" s="23">
        <v>21460</v>
      </c>
      <c r="K19" s="23">
        <f t="shared" si="8"/>
        <v>7140</v>
      </c>
      <c r="L19" s="23">
        <f t="shared" si="9"/>
        <v>0</v>
      </c>
      <c r="M19" s="11"/>
    </row>
    <row r="20" spans="2:13" ht="27" customHeight="1">
      <c r="B20" s="13"/>
      <c r="C20" s="10" t="s">
        <v>34</v>
      </c>
      <c r="D20" s="11" t="s">
        <v>37</v>
      </c>
      <c r="E20" s="12">
        <v>26000</v>
      </c>
      <c r="F20" s="23"/>
      <c r="G20" s="23">
        <f t="shared" si="5"/>
        <v>0</v>
      </c>
      <c r="H20" s="12">
        <f t="shared" si="6"/>
        <v>0</v>
      </c>
      <c r="I20" s="12">
        <f t="shared" si="7"/>
        <v>0</v>
      </c>
      <c r="J20" s="23">
        <v>18200</v>
      </c>
      <c r="K20" s="23">
        <f t="shared" si="8"/>
        <v>7800</v>
      </c>
      <c r="L20" s="23">
        <f t="shared" si="9"/>
        <v>0</v>
      </c>
      <c r="M20" s="14"/>
    </row>
    <row r="21" spans="2:13" ht="27" customHeight="1">
      <c r="B21" s="13"/>
      <c r="C21" s="10" t="s">
        <v>14</v>
      </c>
      <c r="D21" s="11" t="s">
        <v>38</v>
      </c>
      <c r="E21" s="12">
        <v>8450</v>
      </c>
      <c r="F21" s="23"/>
      <c r="G21" s="23">
        <f t="shared" si="5"/>
        <v>0</v>
      </c>
      <c r="H21" s="12">
        <f t="shared" si="6"/>
        <v>0</v>
      </c>
      <c r="I21" s="12">
        <f t="shared" si="7"/>
        <v>0</v>
      </c>
      <c r="J21" s="23">
        <v>7800</v>
      </c>
      <c r="K21" s="23">
        <f t="shared" si="8"/>
        <v>650</v>
      </c>
      <c r="L21" s="23">
        <f t="shared" si="9"/>
        <v>0</v>
      </c>
      <c r="M21" s="11"/>
    </row>
    <row r="22" spans="2:13" ht="27" customHeight="1">
      <c r="B22" s="13"/>
      <c r="C22" s="10" t="s">
        <v>34</v>
      </c>
      <c r="D22" s="15" t="s">
        <v>39</v>
      </c>
      <c r="E22" s="12">
        <v>15800</v>
      </c>
      <c r="F22" s="12"/>
      <c r="G22" s="12">
        <f t="shared" si="5"/>
        <v>0</v>
      </c>
      <c r="H22" s="12">
        <f t="shared" si="6"/>
        <v>0</v>
      </c>
      <c r="I22" s="12">
        <f t="shared" si="7"/>
        <v>0</v>
      </c>
      <c r="J22" s="12">
        <v>13190</v>
      </c>
      <c r="K22" s="12">
        <f t="shared" si="8"/>
        <v>2610</v>
      </c>
      <c r="L22" s="12">
        <f t="shared" si="9"/>
        <v>0</v>
      </c>
      <c r="M22" s="11"/>
    </row>
    <row r="23" spans="2:13" ht="27" customHeight="1">
      <c r="B23" s="13"/>
      <c r="C23" s="10" t="s">
        <v>14</v>
      </c>
      <c r="D23" s="15" t="s">
        <v>40</v>
      </c>
      <c r="E23" s="12">
        <v>14500</v>
      </c>
      <c r="F23" s="23"/>
      <c r="G23" s="23">
        <f t="shared" si="5"/>
        <v>0</v>
      </c>
      <c r="H23" s="12">
        <f t="shared" si="6"/>
        <v>0</v>
      </c>
      <c r="I23" s="12">
        <f t="shared" si="7"/>
        <v>0</v>
      </c>
      <c r="J23" s="23">
        <v>14000</v>
      </c>
      <c r="K23" s="23">
        <f t="shared" si="8"/>
        <v>500</v>
      </c>
      <c r="L23" s="23">
        <f t="shared" si="9"/>
        <v>0</v>
      </c>
      <c r="M23" s="11"/>
    </row>
    <row r="24" spans="2:13" ht="27" customHeight="1">
      <c r="B24" s="13"/>
      <c r="C24" s="10" t="s">
        <v>14</v>
      </c>
      <c r="D24" s="15" t="s">
        <v>41</v>
      </c>
      <c r="E24" s="12">
        <v>16500</v>
      </c>
      <c r="F24" s="23"/>
      <c r="G24" s="23">
        <f t="shared" si="5"/>
        <v>0</v>
      </c>
      <c r="H24" s="12">
        <f t="shared" si="6"/>
        <v>0</v>
      </c>
      <c r="I24" s="12">
        <f t="shared" si="7"/>
        <v>0</v>
      </c>
      <c r="J24" s="23">
        <v>15200</v>
      </c>
      <c r="K24" s="23">
        <f t="shared" si="8"/>
        <v>1300</v>
      </c>
      <c r="L24" s="23">
        <f t="shared" si="9"/>
        <v>0</v>
      </c>
      <c r="M24" s="11"/>
    </row>
    <row r="25" spans="2:13" ht="27" customHeight="1">
      <c r="B25" s="13"/>
      <c r="C25" s="10" t="s">
        <v>14</v>
      </c>
      <c r="D25" s="11" t="s">
        <v>42</v>
      </c>
      <c r="E25" s="12">
        <v>17000</v>
      </c>
      <c r="F25" s="23"/>
      <c r="G25" s="23">
        <f t="shared" si="5"/>
        <v>0</v>
      </c>
      <c r="H25" s="12">
        <f t="shared" si="6"/>
        <v>0</v>
      </c>
      <c r="I25" s="12">
        <f t="shared" si="7"/>
        <v>0</v>
      </c>
      <c r="J25" s="23">
        <v>14900</v>
      </c>
      <c r="K25" s="23">
        <f t="shared" si="8"/>
        <v>2100</v>
      </c>
      <c r="L25" s="23">
        <f t="shared" si="9"/>
        <v>0</v>
      </c>
      <c r="M25" s="11"/>
    </row>
    <row r="26" spans="2:13" ht="27" customHeight="1">
      <c r="B26" s="17"/>
      <c r="C26" s="18"/>
      <c r="D26" s="26" t="s">
        <v>27</v>
      </c>
      <c r="E26" s="21"/>
      <c r="F26" s="21"/>
      <c r="G26" s="21">
        <f>SUM(G13:G25)</f>
        <v>0</v>
      </c>
      <c r="H26" s="21">
        <f t="shared" si="6"/>
        <v>0</v>
      </c>
      <c r="I26" s="21">
        <f t="shared" si="7"/>
        <v>0</v>
      </c>
      <c r="J26" s="21"/>
      <c r="K26" s="21"/>
      <c r="L26" s="21">
        <f>SUM(L13:L25)</f>
        <v>0</v>
      </c>
      <c r="M26" s="26" t="e">
        <f>L26/G26</f>
        <v>#DIV/0!</v>
      </c>
    </row>
    <row r="27" spans="2:13" ht="27" customHeight="1">
      <c r="B27" s="9" t="s">
        <v>43</v>
      </c>
      <c r="C27" s="10" t="s">
        <v>34</v>
      </c>
      <c r="D27" s="11" t="s">
        <v>44</v>
      </c>
      <c r="E27" s="12">
        <v>16000</v>
      </c>
      <c r="F27" s="23"/>
      <c r="G27" s="23">
        <f>E27*F27</f>
        <v>0</v>
      </c>
      <c r="H27" s="12">
        <f t="shared" si="6"/>
        <v>0</v>
      </c>
      <c r="I27" s="12">
        <f t="shared" si="7"/>
        <v>0</v>
      </c>
      <c r="J27" s="23">
        <v>13200</v>
      </c>
      <c r="K27" s="23">
        <f>E27-J27</f>
        <v>2800</v>
      </c>
      <c r="L27" s="23">
        <f>F27*K27</f>
        <v>0</v>
      </c>
      <c r="M27" s="11"/>
    </row>
    <row r="28" spans="2:13" ht="27" customHeight="1">
      <c r="B28" s="13"/>
      <c r="C28" s="10" t="s">
        <v>45</v>
      </c>
      <c r="D28" s="11" t="s">
        <v>46</v>
      </c>
      <c r="E28" s="12">
        <v>1500</v>
      </c>
      <c r="F28" s="12"/>
      <c r="G28" s="12">
        <f>E28*F28</f>
        <v>0</v>
      </c>
      <c r="H28" s="12">
        <f t="shared" si="6"/>
        <v>0</v>
      </c>
      <c r="I28" s="12">
        <f t="shared" si="7"/>
        <v>0</v>
      </c>
      <c r="J28" s="12">
        <v>1300</v>
      </c>
      <c r="K28" s="23">
        <f>E28-J28</f>
        <v>200</v>
      </c>
      <c r="L28" s="23">
        <f>F28*K28</f>
        <v>0</v>
      </c>
      <c r="M28" s="11" t="s">
        <v>47</v>
      </c>
    </row>
    <row r="29" spans="2:13" ht="27" customHeight="1">
      <c r="B29" s="13"/>
      <c r="C29" s="10" t="s">
        <v>45</v>
      </c>
      <c r="D29" s="11" t="s">
        <v>48</v>
      </c>
      <c r="E29" s="12">
        <v>22000</v>
      </c>
      <c r="F29" s="23"/>
      <c r="G29" s="23">
        <f>E29*F29</f>
        <v>0</v>
      </c>
      <c r="H29" s="12">
        <f t="shared" si="6"/>
        <v>0</v>
      </c>
      <c r="I29" s="12">
        <f t="shared" si="7"/>
        <v>0</v>
      </c>
      <c r="J29" s="12">
        <v>16500</v>
      </c>
      <c r="K29" s="23">
        <f>E29-J29</f>
        <v>5500</v>
      </c>
      <c r="L29" s="23">
        <f>F29*K29</f>
        <v>0</v>
      </c>
      <c r="M29" s="11" t="s">
        <v>49</v>
      </c>
    </row>
    <row r="30" spans="2:13" ht="27" customHeight="1">
      <c r="B30" s="13"/>
      <c r="C30" s="10" t="s">
        <v>45</v>
      </c>
      <c r="D30" s="11" t="s">
        <v>50</v>
      </c>
      <c r="E30" s="12">
        <v>19000</v>
      </c>
      <c r="F30" s="23"/>
      <c r="G30" s="23">
        <f>E30*F30</f>
        <v>0</v>
      </c>
      <c r="H30" s="12">
        <f t="shared" si="6"/>
        <v>0</v>
      </c>
      <c r="I30" s="12">
        <f t="shared" si="7"/>
        <v>0</v>
      </c>
      <c r="J30" s="23">
        <v>12200</v>
      </c>
      <c r="K30" s="23">
        <f>E30-J30</f>
        <v>6800</v>
      </c>
      <c r="L30" s="23">
        <f>F30*K30</f>
        <v>0</v>
      </c>
      <c r="M30" s="11"/>
    </row>
    <row r="31" spans="2:13" ht="27" customHeight="1">
      <c r="B31" s="17"/>
      <c r="C31" s="18"/>
      <c r="D31" s="26" t="s">
        <v>27</v>
      </c>
      <c r="E31" s="21"/>
      <c r="F31" s="21"/>
      <c r="G31" s="21">
        <f>SUM(G27:G30)</f>
        <v>0</v>
      </c>
      <c r="H31" s="21">
        <f t="shared" si="6"/>
        <v>0</v>
      </c>
      <c r="I31" s="21">
        <f t="shared" si="7"/>
        <v>0</v>
      </c>
      <c r="J31" s="21"/>
      <c r="K31" s="21"/>
      <c r="L31" s="21">
        <f>SUM(L27:L30)</f>
        <v>0</v>
      </c>
      <c r="M31" s="26" t="e">
        <f>L31/G31</f>
        <v>#DIV/0!</v>
      </c>
    </row>
    <row r="32" spans="2:13" s="29" customFormat="1" ht="27" customHeight="1">
      <c r="B32" s="27" t="s">
        <v>51</v>
      </c>
      <c r="C32" s="28" t="s">
        <v>34</v>
      </c>
      <c r="D32" s="11" t="s">
        <v>52</v>
      </c>
      <c r="E32" s="12">
        <v>17000</v>
      </c>
      <c r="F32" s="12"/>
      <c r="G32" s="23">
        <f t="shared" ref="G32:G57" si="10">E32*F32</f>
        <v>0</v>
      </c>
      <c r="H32" s="12">
        <f t="shared" si="6"/>
        <v>0</v>
      </c>
      <c r="I32" s="12">
        <f t="shared" si="7"/>
        <v>0</v>
      </c>
      <c r="J32" s="12">
        <v>12429</v>
      </c>
      <c r="K32" s="12">
        <f t="shared" ref="K32:K57" si="11">E32-J32</f>
        <v>4571</v>
      </c>
      <c r="L32" s="12">
        <f t="shared" ref="L32:L57" si="12">F32*K32</f>
        <v>0</v>
      </c>
      <c r="M32" s="11"/>
    </row>
    <row r="33" spans="2:13" s="31" customFormat="1" ht="27" customHeight="1">
      <c r="B33" s="30"/>
      <c r="C33" s="10" t="s">
        <v>45</v>
      </c>
      <c r="D33" s="11" t="s">
        <v>53</v>
      </c>
      <c r="E33" s="12">
        <v>21000</v>
      </c>
      <c r="F33" s="12"/>
      <c r="G33" s="12">
        <f t="shared" si="10"/>
        <v>0</v>
      </c>
      <c r="H33" s="12">
        <f t="shared" si="6"/>
        <v>0</v>
      </c>
      <c r="I33" s="12">
        <f t="shared" si="7"/>
        <v>0</v>
      </c>
      <c r="J33" s="12">
        <v>15400</v>
      </c>
      <c r="K33" s="12">
        <f t="shared" si="11"/>
        <v>5600</v>
      </c>
      <c r="L33" s="12">
        <f t="shared" si="12"/>
        <v>0</v>
      </c>
      <c r="M33" s="11"/>
    </row>
    <row r="34" spans="2:13" s="31" customFormat="1" ht="27" customHeight="1">
      <c r="B34" s="30"/>
      <c r="C34" s="10" t="s">
        <v>20</v>
      </c>
      <c r="D34" s="11" t="s">
        <v>54</v>
      </c>
      <c r="E34" s="12">
        <v>1300</v>
      </c>
      <c r="F34" s="12"/>
      <c r="G34" s="23">
        <f t="shared" si="10"/>
        <v>0</v>
      </c>
      <c r="H34" s="12">
        <f t="shared" si="6"/>
        <v>0</v>
      </c>
      <c r="I34" s="12">
        <f t="shared" si="7"/>
        <v>0</v>
      </c>
      <c r="J34" s="12">
        <v>945</v>
      </c>
      <c r="K34" s="12">
        <f t="shared" si="11"/>
        <v>355</v>
      </c>
      <c r="L34" s="12">
        <f t="shared" si="12"/>
        <v>0</v>
      </c>
      <c r="M34" s="11"/>
    </row>
    <row r="35" spans="2:13" s="31" customFormat="1" ht="27" customHeight="1">
      <c r="B35" s="30"/>
      <c r="C35" s="10" t="s">
        <v>45</v>
      </c>
      <c r="D35" s="11" t="s">
        <v>55</v>
      </c>
      <c r="E35" s="12">
        <v>1500</v>
      </c>
      <c r="F35" s="23"/>
      <c r="G35" s="23">
        <f t="shared" si="10"/>
        <v>0</v>
      </c>
      <c r="H35" s="12">
        <f t="shared" si="6"/>
        <v>0</v>
      </c>
      <c r="I35" s="12">
        <f t="shared" si="7"/>
        <v>0</v>
      </c>
      <c r="J35" s="23">
        <v>1200</v>
      </c>
      <c r="K35" s="12">
        <f t="shared" si="11"/>
        <v>300</v>
      </c>
      <c r="L35" s="12">
        <f t="shared" si="12"/>
        <v>0</v>
      </c>
      <c r="M35" s="11"/>
    </row>
    <row r="36" spans="2:13" s="31" customFormat="1" ht="27" customHeight="1">
      <c r="B36" s="30"/>
      <c r="C36" s="10" t="s">
        <v>17</v>
      </c>
      <c r="D36" s="32" t="s">
        <v>56</v>
      </c>
      <c r="E36" s="12">
        <v>8400</v>
      </c>
      <c r="F36" s="23"/>
      <c r="G36" s="23">
        <f t="shared" si="10"/>
        <v>0</v>
      </c>
      <c r="H36" s="12">
        <f t="shared" si="6"/>
        <v>0</v>
      </c>
      <c r="I36" s="12">
        <f t="shared" si="7"/>
        <v>0</v>
      </c>
      <c r="J36" s="12">
        <v>6651</v>
      </c>
      <c r="K36" s="12">
        <f t="shared" si="11"/>
        <v>1749</v>
      </c>
      <c r="L36" s="12">
        <f t="shared" si="12"/>
        <v>0</v>
      </c>
      <c r="M36" s="11"/>
    </row>
    <row r="37" spans="2:13" s="31" customFormat="1" ht="27" customHeight="1">
      <c r="B37" s="30"/>
      <c r="C37" s="10" t="s">
        <v>17</v>
      </c>
      <c r="D37" s="32" t="s">
        <v>57</v>
      </c>
      <c r="E37" s="12">
        <v>8400</v>
      </c>
      <c r="F37" s="12"/>
      <c r="G37" s="12">
        <f t="shared" si="10"/>
        <v>0</v>
      </c>
      <c r="H37" s="12">
        <f t="shared" si="6"/>
        <v>0</v>
      </c>
      <c r="I37" s="12">
        <f t="shared" si="7"/>
        <v>0</v>
      </c>
      <c r="J37" s="12">
        <v>6550</v>
      </c>
      <c r="K37" s="12">
        <f t="shared" si="11"/>
        <v>1850</v>
      </c>
      <c r="L37" s="12">
        <f t="shared" si="12"/>
        <v>0</v>
      </c>
      <c r="M37" s="11"/>
    </row>
    <row r="38" spans="2:13" s="31" customFormat="1" ht="27" customHeight="1">
      <c r="B38" s="30"/>
      <c r="C38" s="10" t="s">
        <v>14</v>
      </c>
      <c r="D38" s="32" t="s">
        <v>58</v>
      </c>
      <c r="E38" s="12">
        <v>14300</v>
      </c>
      <c r="F38" s="12"/>
      <c r="G38" s="12">
        <f t="shared" si="10"/>
        <v>0</v>
      </c>
      <c r="H38" s="12">
        <f t="shared" si="6"/>
        <v>0</v>
      </c>
      <c r="I38" s="12">
        <f t="shared" si="7"/>
        <v>0</v>
      </c>
      <c r="J38" s="12">
        <v>12705</v>
      </c>
      <c r="K38" s="12">
        <f t="shared" si="11"/>
        <v>1595</v>
      </c>
      <c r="L38" s="12">
        <f t="shared" si="12"/>
        <v>0</v>
      </c>
      <c r="M38" s="11"/>
    </row>
    <row r="39" spans="2:13" s="31" customFormat="1" ht="27" customHeight="1">
      <c r="B39" s="30"/>
      <c r="C39" s="10" t="s">
        <v>17</v>
      </c>
      <c r="D39" s="11" t="s">
        <v>59</v>
      </c>
      <c r="E39" s="12">
        <v>7200</v>
      </c>
      <c r="F39" s="12">
        <v>200</v>
      </c>
      <c r="G39" s="23">
        <f t="shared" si="10"/>
        <v>1440000</v>
      </c>
      <c r="H39" s="12">
        <f t="shared" si="6"/>
        <v>144000</v>
      </c>
      <c r="I39" s="12">
        <f t="shared" si="7"/>
        <v>1584000</v>
      </c>
      <c r="J39" s="12">
        <v>6032</v>
      </c>
      <c r="K39" s="12">
        <f t="shared" si="11"/>
        <v>1168</v>
      </c>
      <c r="L39" s="12">
        <f t="shared" si="12"/>
        <v>233600</v>
      </c>
      <c r="M39" s="11" t="s">
        <v>60</v>
      </c>
    </row>
    <row r="40" spans="2:13" s="31" customFormat="1" ht="27" customHeight="1">
      <c r="B40" s="30"/>
      <c r="C40" s="10" t="s">
        <v>17</v>
      </c>
      <c r="D40" s="11" t="s">
        <v>61</v>
      </c>
      <c r="E40" s="33">
        <v>8400</v>
      </c>
      <c r="F40" s="12"/>
      <c r="G40" s="23">
        <f t="shared" si="10"/>
        <v>0</v>
      </c>
      <c r="H40" s="12">
        <f t="shared" si="6"/>
        <v>0</v>
      </c>
      <c r="I40" s="12">
        <f t="shared" si="7"/>
        <v>0</v>
      </c>
      <c r="J40" s="12">
        <v>6756</v>
      </c>
      <c r="K40" s="12">
        <f t="shared" si="11"/>
        <v>1644</v>
      </c>
      <c r="L40" s="12">
        <f t="shared" si="12"/>
        <v>0</v>
      </c>
      <c r="M40" s="11"/>
    </row>
    <row r="41" spans="2:13" s="31" customFormat="1" ht="27" customHeight="1">
      <c r="B41" s="30"/>
      <c r="C41" s="10" t="s">
        <v>17</v>
      </c>
      <c r="D41" s="11" t="s">
        <v>62</v>
      </c>
      <c r="E41" s="12">
        <v>7000</v>
      </c>
      <c r="F41" s="12"/>
      <c r="G41" s="12">
        <f t="shared" si="10"/>
        <v>0</v>
      </c>
      <c r="H41" s="12">
        <f t="shared" si="6"/>
        <v>0</v>
      </c>
      <c r="I41" s="12">
        <f t="shared" si="7"/>
        <v>0</v>
      </c>
      <c r="J41" s="12">
        <v>6600</v>
      </c>
      <c r="K41" s="12">
        <f t="shared" si="11"/>
        <v>400</v>
      </c>
      <c r="L41" s="12">
        <f t="shared" si="12"/>
        <v>0</v>
      </c>
      <c r="M41" s="11"/>
    </row>
    <row r="42" spans="2:13" s="31" customFormat="1" ht="27" customHeight="1">
      <c r="B42" s="30"/>
      <c r="C42" s="10" t="s">
        <v>17</v>
      </c>
      <c r="D42" s="34" t="s">
        <v>63</v>
      </c>
      <c r="E42" s="12">
        <v>8400</v>
      </c>
      <c r="F42" s="12">
        <v>500</v>
      </c>
      <c r="G42" s="12">
        <f t="shared" si="10"/>
        <v>4200000</v>
      </c>
      <c r="H42" s="12">
        <f t="shared" si="6"/>
        <v>420000</v>
      </c>
      <c r="I42" s="12">
        <f t="shared" si="7"/>
        <v>4620000</v>
      </c>
      <c r="J42" s="12">
        <v>6651</v>
      </c>
      <c r="K42" s="12">
        <f t="shared" si="11"/>
        <v>1749</v>
      </c>
      <c r="L42" s="12">
        <f t="shared" si="12"/>
        <v>874500</v>
      </c>
      <c r="M42" s="11" t="s">
        <v>64</v>
      </c>
    </row>
    <row r="43" spans="2:13" s="31" customFormat="1" ht="27" customHeight="1">
      <c r="B43" s="30"/>
      <c r="C43" s="10" t="s">
        <v>17</v>
      </c>
      <c r="D43" s="35" t="s">
        <v>65</v>
      </c>
      <c r="E43" s="12">
        <v>8400</v>
      </c>
      <c r="F43" s="12"/>
      <c r="G43" s="23">
        <f t="shared" si="10"/>
        <v>0</v>
      </c>
      <c r="H43" s="12">
        <f t="shared" si="6"/>
        <v>0</v>
      </c>
      <c r="I43" s="12">
        <f t="shared" si="7"/>
        <v>0</v>
      </c>
      <c r="J43" s="12">
        <v>6802</v>
      </c>
      <c r="K43" s="12">
        <f t="shared" si="11"/>
        <v>1598</v>
      </c>
      <c r="L43" s="12">
        <f t="shared" si="12"/>
        <v>0</v>
      </c>
      <c r="M43" s="11"/>
    </row>
    <row r="44" spans="2:13" s="31" customFormat="1" ht="27" customHeight="1">
      <c r="B44" s="30"/>
      <c r="C44" s="10" t="s">
        <v>17</v>
      </c>
      <c r="D44" s="36" t="s">
        <v>66</v>
      </c>
      <c r="E44" s="12">
        <v>8400</v>
      </c>
      <c r="F44" s="12">
        <v>200</v>
      </c>
      <c r="G44" s="12">
        <f t="shared" si="10"/>
        <v>1680000</v>
      </c>
      <c r="H44" s="12">
        <f t="shared" si="6"/>
        <v>168000</v>
      </c>
      <c r="I44" s="12">
        <f t="shared" si="7"/>
        <v>1848000</v>
      </c>
      <c r="J44" s="12">
        <v>6802</v>
      </c>
      <c r="K44" s="12">
        <f t="shared" si="11"/>
        <v>1598</v>
      </c>
      <c r="L44" s="12">
        <f t="shared" si="12"/>
        <v>319600</v>
      </c>
      <c r="M44" s="11" t="s">
        <v>67</v>
      </c>
    </row>
    <row r="45" spans="2:13" s="31" customFormat="1" ht="27" customHeight="1">
      <c r="B45" s="30"/>
      <c r="C45" s="10" t="s">
        <v>17</v>
      </c>
      <c r="D45" s="11" t="s">
        <v>68</v>
      </c>
      <c r="E45" s="12">
        <v>8400</v>
      </c>
      <c r="F45" s="12"/>
      <c r="G45" s="12">
        <f t="shared" si="10"/>
        <v>0</v>
      </c>
      <c r="H45" s="12">
        <f t="shared" si="6"/>
        <v>0</v>
      </c>
      <c r="I45" s="12">
        <f t="shared" si="7"/>
        <v>0</v>
      </c>
      <c r="J45" s="12">
        <v>7061</v>
      </c>
      <c r="K45" s="12">
        <f t="shared" si="11"/>
        <v>1339</v>
      </c>
      <c r="L45" s="12">
        <f t="shared" si="12"/>
        <v>0</v>
      </c>
      <c r="M45" s="11"/>
    </row>
    <row r="46" spans="2:13" s="31" customFormat="1" ht="27" customHeight="1">
      <c r="B46" s="30"/>
      <c r="C46" s="10" t="s">
        <v>17</v>
      </c>
      <c r="D46" s="11" t="s">
        <v>69</v>
      </c>
      <c r="E46" s="12">
        <v>8400</v>
      </c>
      <c r="F46" s="12"/>
      <c r="G46" s="12">
        <f t="shared" si="10"/>
        <v>0</v>
      </c>
      <c r="H46" s="12">
        <f t="shared" si="6"/>
        <v>0</v>
      </c>
      <c r="I46" s="12">
        <f t="shared" si="7"/>
        <v>0</v>
      </c>
      <c r="J46" s="12">
        <v>6906</v>
      </c>
      <c r="K46" s="12">
        <f t="shared" si="11"/>
        <v>1494</v>
      </c>
      <c r="L46" s="12">
        <f t="shared" si="12"/>
        <v>0</v>
      </c>
      <c r="M46" s="11"/>
    </row>
    <row r="47" spans="2:13" s="31" customFormat="1" ht="27" customHeight="1">
      <c r="B47" s="30"/>
      <c r="C47" s="10" t="s">
        <v>34</v>
      </c>
      <c r="D47" s="11" t="s">
        <v>70</v>
      </c>
      <c r="E47" s="12">
        <v>27500</v>
      </c>
      <c r="F47" s="12"/>
      <c r="G47" s="23">
        <f t="shared" si="10"/>
        <v>0</v>
      </c>
      <c r="H47" s="12">
        <f t="shared" si="6"/>
        <v>0</v>
      </c>
      <c r="I47" s="12">
        <f t="shared" si="7"/>
        <v>0</v>
      </c>
      <c r="J47" s="12">
        <v>19100</v>
      </c>
      <c r="K47" s="12">
        <f t="shared" si="11"/>
        <v>8400</v>
      </c>
      <c r="L47" s="12">
        <f t="shared" si="12"/>
        <v>0</v>
      </c>
      <c r="M47" s="11"/>
    </row>
    <row r="48" spans="2:13" s="31" customFormat="1" ht="27" customHeight="1">
      <c r="B48" s="30"/>
      <c r="C48" s="10" t="s">
        <v>34</v>
      </c>
      <c r="D48" s="11" t="s">
        <v>71</v>
      </c>
      <c r="E48" s="12">
        <v>18000</v>
      </c>
      <c r="F48" s="12"/>
      <c r="G48" s="23">
        <f t="shared" si="10"/>
        <v>0</v>
      </c>
      <c r="H48" s="12">
        <f t="shared" si="6"/>
        <v>0</v>
      </c>
      <c r="I48" s="12">
        <f t="shared" si="7"/>
        <v>0</v>
      </c>
      <c r="J48" s="12">
        <v>12300</v>
      </c>
      <c r="K48" s="12">
        <f t="shared" si="11"/>
        <v>5700</v>
      </c>
      <c r="L48" s="12">
        <f t="shared" si="12"/>
        <v>0</v>
      </c>
      <c r="M48" s="11"/>
    </row>
    <row r="49" spans="2:13" s="31" customFormat="1" ht="27" customHeight="1">
      <c r="B49" s="30"/>
      <c r="C49" s="10" t="s">
        <v>14</v>
      </c>
      <c r="D49" s="11" t="s">
        <v>72</v>
      </c>
      <c r="E49" s="12">
        <v>8800</v>
      </c>
      <c r="F49" s="12"/>
      <c r="G49" s="23">
        <f t="shared" si="10"/>
        <v>0</v>
      </c>
      <c r="H49" s="12">
        <f t="shared" si="6"/>
        <v>0</v>
      </c>
      <c r="I49" s="12">
        <f t="shared" si="7"/>
        <v>0</v>
      </c>
      <c r="J49" s="12">
        <v>6710</v>
      </c>
      <c r="K49" s="12">
        <f t="shared" si="11"/>
        <v>2090</v>
      </c>
      <c r="L49" s="12">
        <f t="shared" si="12"/>
        <v>0</v>
      </c>
      <c r="M49" s="11"/>
    </row>
    <row r="50" spans="2:13" s="31" customFormat="1" ht="27" customHeight="1">
      <c r="B50" s="30"/>
      <c r="C50" s="10" t="s">
        <v>14</v>
      </c>
      <c r="D50" s="11" t="s">
        <v>73</v>
      </c>
      <c r="E50" s="12">
        <v>10500</v>
      </c>
      <c r="F50" s="12"/>
      <c r="G50" s="12">
        <f t="shared" si="10"/>
        <v>0</v>
      </c>
      <c r="H50" s="12">
        <f t="shared" si="6"/>
        <v>0</v>
      </c>
      <c r="I50" s="12">
        <f t="shared" si="7"/>
        <v>0</v>
      </c>
      <c r="J50" s="12">
        <v>7700</v>
      </c>
      <c r="K50" s="12">
        <f t="shared" si="11"/>
        <v>2800</v>
      </c>
      <c r="L50" s="12">
        <f t="shared" si="12"/>
        <v>0</v>
      </c>
      <c r="M50" s="11"/>
    </row>
    <row r="51" spans="2:13" s="31" customFormat="1" ht="27" customHeight="1">
      <c r="B51" s="30"/>
      <c r="C51" s="10" t="s">
        <v>14</v>
      </c>
      <c r="D51" s="11" t="s">
        <v>74</v>
      </c>
      <c r="E51" s="12">
        <v>10500</v>
      </c>
      <c r="F51" s="12"/>
      <c r="G51" s="12">
        <f t="shared" si="10"/>
        <v>0</v>
      </c>
      <c r="H51" s="12">
        <f t="shared" si="6"/>
        <v>0</v>
      </c>
      <c r="I51" s="12">
        <f t="shared" si="7"/>
        <v>0</v>
      </c>
      <c r="J51" s="12">
        <v>7870</v>
      </c>
      <c r="K51" s="12">
        <f t="shared" si="11"/>
        <v>2630</v>
      </c>
      <c r="L51" s="12">
        <f t="shared" si="12"/>
        <v>0</v>
      </c>
      <c r="M51" s="11"/>
    </row>
    <row r="52" spans="2:13" s="31" customFormat="1" ht="27" customHeight="1">
      <c r="B52" s="30"/>
      <c r="C52" s="10" t="s">
        <v>14</v>
      </c>
      <c r="D52" s="11" t="s">
        <v>75</v>
      </c>
      <c r="E52" s="37">
        <v>8000</v>
      </c>
      <c r="F52" s="12"/>
      <c r="G52" s="23">
        <f t="shared" si="10"/>
        <v>0</v>
      </c>
      <c r="H52" s="12">
        <f t="shared" si="6"/>
        <v>0</v>
      </c>
      <c r="I52" s="12">
        <f t="shared" si="7"/>
        <v>0</v>
      </c>
      <c r="J52" s="12">
        <v>7280</v>
      </c>
      <c r="K52" s="12">
        <f t="shared" si="11"/>
        <v>720</v>
      </c>
      <c r="L52" s="12">
        <f t="shared" si="12"/>
        <v>0</v>
      </c>
      <c r="M52" s="11"/>
    </row>
    <row r="53" spans="2:13" s="31" customFormat="1" ht="27" customHeight="1">
      <c r="B53" s="30"/>
      <c r="C53" s="10" t="s">
        <v>34</v>
      </c>
      <c r="D53" s="11" t="s">
        <v>76</v>
      </c>
      <c r="E53" s="12">
        <v>16500</v>
      </c>
      <c r="F53" s="12"/>
      <c r="G53" s="23">
        <f t="shared" si="10"/>
        <v>0</v>
      </c>
      <c r="H53" s="12">
        <f t="shared" si="6"/>
        <v>0</v>
      </c>
      <c r="I53" s="12">
        <f t="shared" si="7"/>
        <v>0</v>
      </c>
      <c r="J53" s="12">
        <v>10500</v>
      </c>
      <c r="K53" s="12">
        <f t="shared" si="11"/>
        <v>6000</v>
      </c>
      <c r="L53" s="12">
        <f t="shared" si="12"/>
        <v>0</v>
      </c>
      <c r="M53" s="11"/>
    </row>
    <row r="54" spans="2:13" s="31" customFormat="1" ht="27" customHeight="1">
      <c r="B54" s="30"/>
      <c r="C54" s="10" t="s">
        <v>34</v>
      </c>
      <c r="D54" s="11" t="s">
        <v>77</v>
      </c>
      <c r="E54" s="12">
        <v>17000</v>
      </c>
      <c r="F54" s="12"/>
      <c r="G54" s="23">
        <f t="shared" si="10"/>
        <v>0</v>
      </c>
      <c r="H54" s="12">
        <f t="shared" si="6"/>
        <v>0</v>
      </c>
      <c r="I54" s="12">
        <f t="shared" si="7"/>
        <v>0</v>
      </c>
      <c r="J54" s="12">
        <v>15000</v>
      </c>
      <c r="K54" s="12">
        <f t="shared" si="11"/>
        <v>2000</v>
      </c>
      <c r="L54" s="12">
        <f t="shared" si="12"/>
        <v>0</v>
      </c>
      <c r="M54" s="11" t="s">
        <v>78</v>
      </c>
    </row>
    <row r="55" spans="2:13" s="31" customFormat="1" ht="27" customHeight="1">
      <c r="B55" s="30"/>
      <c r="C55" s="10" t="s">
        <v>34</v>
      </c>
      <c r="D55" s="11" t="s">
        <v>79</v>
      </c>
      <c r="E55" s="12">
        <v>15000</v>
      </c>
      <c r="F55" s="12"/>
      <c r="G55" s="23">
        <f t="shared" si="10"/>
        <v>0</v>
      </c>
      <c r="H55" s="12">
        <f t="shared" si="6"/>
        <v>0</v>
      </c>
      <c r="I55" s="12">
        <f t="shared" si="7"/>
        <v>0</v>
      </c>
      <c r="J55" s="12">
        <v>13690</v>
      </c>
      <c r="K55" s="12">
        <f t="shared" si="11"/>
        <v>1310</v>
      </c>
      <c r="L55" s="12">
        <f t="shared" si="12"/>
        <v>0</v>
      </c>
      <c r="M55" s="11"/>
    </row>
    <row r="56" spans="2:13" s="31" customFormat="1" ht="27" customHeight="1">
      <c r="B56" s="30"/>
      <c r="C56" s="10" t="s">
        <v>45</v>
      </c>
      <c r="D56" s="11" t="s">
        <v>80</v>
      </c>
      <c r="E56" s="12">
        <v>1300</v>
      </c>
      <c r="F56" s="12"/>
      <c r="G56" s="12">
        <f t="shared" si="10"/>
        <v>0</v>
      </c>
      <c r="H56" s="12">
        <f t="shared" si="6"/>
        <v>0</v>
      </c>
      <c r="I56" s="12">
        <f t="shared" si="7"/>
        <v>0</v>
      </c>
      <c r="J56" s="12">
        <v>1150</v>
      </c>
      <c r="K56" s="12">
        <f t="shared" si="11"/>
        <v>150</v>
      </c>
      <c r="L56" s="12">
        <f t="shared" si="12"/>
        <v>0</v>
      </c>
      <c r="M56" s="11"/>
    </row>
    <row r="57" spans="2:13" s="31" customFormat="1" ht="27" customHeight="1">
      <c r="B57" s="30"/>
      <c r="C57" s="10" t="s">
        <v>20</v>
      </c>
      <c r="D57" s="11" t="s">
        <v>81</v>
      </c>
      <c r="E57" s="12">
        <v>900</v>
      </c>
      <c r="F57" s="23"/>
      <c r="G57" s="23">
        <f t="shared" si="10"/>
        <v>0</v>
      </c>
      <c r="H57" s="12">
        <f t="shared" si="6"/>
        <v>0</v>
      </c>
      <c r="I57" s="12">
        <f t="shared" si="7"/>
        <v>0</v>
      </c>
      <c r="J57" s="12">
        <v>510</v>
      </c>
      <c r="K57" s="12">
        <f t="shared" si="11"/>
        <v>390</v>
      </c>
      <c r="L57" s="12">
        <f t="shared" si="12"/>
        <v>0</v>
      </c>
      <c r="M57" s="11"/>
    </row>
    <row r="58" spans="2:13" s="31" customFormat="1" ht="27" customHeight="1">
      <c r="B58" s="38"/>
      <c r="C58" s="39"/>
      <c r="D58" s="26" t="s">
        <v>27</v>
      </c>
      <c r="E58" s="21"/>
      <c r="F58" s="20">
        <f>SUM(F32:F57)</f>
        <v>900</v>
      </c>
      <c r="G58" s="21">
        <f>SUM(G32:G57)</f>
        <v>7320000</v>
      </c>
      <c r="H58" s="21">
        <f>SUM(H32:H57)</f>
        <v>732000</v>
      </c>
      <c r="I58" s="21">
        <f>SUM(I32:I57)</f>
        <v>8052000</v>
      </c>
      <c r="J58" s="21"/>
      <c r="K58" s="21"/>
      <c r="L58" s="21">
        <f>SUM(L32:L57)</f>
        <v>1427700</v>
      </c>
      <c r="M58" s="40">
        <f>L58/G58</f>
        <v>0.19504098360655739</v>
      </c>
    </row>
    <row r="59" spans="2:13" ht="27" customHeight="1">
      <c r="B59" s="9" t="s">
        <v>82</v>
      </c>
      <c r="C59" s="10" t="s">
        <v>17</v>
      </c>
      <c r="D59" s="11" t="s">
        <v>63</v>
      </c>
      <c r="E59" s="12">
        <v>8400</v>
      </c>
      <c r="F59" s="12"/>
      <c r="G59" s="12">
        <f>E59*F59</f>
        <v>0</v>
      </c>
      <c r="H59" s="12">
        <f>G59/10</f>
        <v>0</v>
      </c>
      <c r="I59" s="12">
        <f>G59+H59</f>
        <v>0</v>
      </c>
      <c r="J59" s="12">
        <v>6851</v>
      </c>
      <c r="K59" s="12">
        <f>E59-J59</f>
        <v>1549</v>
      </c>
      <c r="L59" s="12">
        <f>F59*K59</f>
        <v>0</v>
      </c>
      <c r="M59" s="11"/>
    </row>
    <row r="60" spans="2:13" ht="27" customHeight="1">
      <c r="B60" s="13"/>
      <c r="C60" s="10"/>
      <c r="D60" s="11"/>
      <c r="E60" s="12"/>
      <c r="F60" s="23"/>
      <c r="G60" s="23">
        <f>E60*F60</f>
        <v>0</v>
      </c>
      <c r="H60" s="12">
        <f>G60/10</f>
        <v>0</v>
      </c>
      <c r="I60" s="12">
        <f>G60+H60</f>
        <v>0</v>
      </c>
      <c r="J60" s="23"/>
      <c r="K60" s="23">
        <f>E60-J60</f>
        <v>0</v>
      </c>
      <c r="L60" s="23">
        <f>F60*K60</f>
        <v>0</v>
      </c>
      <c r="M60" s="11"/>
    </row>
    <row r="61" spans="2:13" ht="27" customHeight="1">
      <c r="B61" s="13"/>
      <c r="C61" s="10"/>
      <c r="D61" s="11"/>
      <c r="E61" s="12"/>
      <c r="F61" s="23"/>
      <c r="G61" s="23">
        <f>E61*F61</f>
        <v>0</v>
      </c>
      <c r="H61" s="12">
        <f>G61/10</f>
        <v>0</v>
      </c>
      <c r="I61" s="12">
        <f>G61+H61</f>
        <v>0</v>
      </c>
      <c r="J61" s="23"/>
      <c r="K61" s="23">
        <f>E61-J61</f>
        <v>0</v>
      </c>
      <c r="L61" s="23">
        <f>F61*K61</f>
        <v>0</v>
      </c>
      <c r="M61" s="11"/>
    </row>
    <row r="62" spans="2:13" ht="27" customHeight="1">
      <c r="B62" s="17"/>
      <c r="C62" s="18"/>
      <c r="D62" s="26" t="s">
        <v>27</v>
      </c>
      <c r="E62" s="21"/>
      <c r="F62" s="21"/>
      <c r="G62" s="21">
        <f>SUM(G59:G61)</f>
        <v>0</v>
      </c>
      <c r="H62" s="21">
        <f>SUM(H59:H61)</f>
        <v>0</v>
      </c>
      <c r="I62" s="21">
        <f>SUM(I59:I61)</f>
        <v>0</v>
      </c>
      <c r="J62" s="21"/>
      <c r="K62" s="21"/>
      <c r="L62" s="21">
        <f>SUM(L59:L61)</f>
        <v>0</v>
      </c>
      <c r="M62" s="22" t="e">
        <f>L62/G62</f>
        <v>#DIV/0!</v>
      </c>
    </row>
    <row r="63" spans="2:13" ht="27" customHeight="1">
      <c r="B63" s="41" t="s">
        <v>83</v>
      </c>
      <c r="C63" s="10" t="s">
        <v>14</v>
      </c>
      <c r="D63" s="11" t="s">
        <v>84</v>
      </c>
      <c r="E63" s="12">
        <v>9800</v>
      </c>
      <c r="F63" s="23"/>
      <c r="G63" s="23">
        <f t="shared" ref="G63:G76" si="13">E63*F63</f>
        <v>0</v>
      </c>
      <c r="H63" s="12">
        <f t="shared" ref="H63:H76" si="14">G63/10</f>
        <v>0</v>
      </c>
      <c r="I63" s="12">
        <f t="shared" ref="I63:I76" si="15">G63+H63</f>
        <v>0</v>
      </c>
      <c r="J63" s="23">
        <v>8522</v>
      </c>
      <c r="K63" s="23">
        <f t="shared" ref="K63:K76" si="16">E63-J63</f>
        <v>1278</v>
      </c>
      <c r="L63" s="23">
        <f t="shared" ref="L63:L73" si="17">F63*K63</f>
        <v>0</v>
      </c>
      <c r="M63" s="11"/>
    </row>
    <row r="64" spans="2:13" ht="27" customHeight="1">
      <c r="B64" s="42"/>
      <c r="C64" s="10" t="s">
        <v>17</v>
      </c>
      <c r="D64" s="11" t="s">
        <v>85</v>
      </c>
      <c r="E64" s="12">
        <v>8400</v>
      </c>
      <c r="F64" s="12"/>
      <c r="G64" s="12">
        <f t="shared" si="13"/>
        <v>0</v>
      </c>
      <c r="H64" s="12">
        <f t="shared" si="14"/>
        <v>0</v>
      </c>
      <c r="I64" s="12">
        <f t="shared" si="15"/>
        <v>0</v>
      </c>
      <c r="J64" s="12">
        <v>7112</v>
      </c>
      <c r="K64" s="12">
        <f t="shared" si="16"/>
        <v>1288</v>
      </c>
      <c r="L64" s="12">
        <f t="shared" si="17"/>
        <v>0</v>
      </c>
      <c r="M64" s="15"/>
    </row>
    <row r="65" spans="2:13" ht="27" customHeight="1">
      <c r="B65" s="42"/>
      <c r="C65" s="10" t="s">
        <v>17</v>
      </c>
      <c r="D65" s="11" t="s">
        <v>86</v>
      </c>
      <c r="E65" s="12">
        <v>8400</v>
      </c>
      <c r="F65" s="12"/>
      <c r="G65" s="12">
        <f t="shared" si="13"/>
        <v>0</v>
      </c>
      <c r="H65" s="12">
        <f t="shared" si="14"/>
        <v>0</v>
      </c>
      <c r="I65" s="12">
        <f t="shared" si="15"/>
        <v>0</v>
      </c>
      <c r="J65" s="12">
        <v>6802</v>
      </c>
      <c r="K65" s="12">
        <f t="shared" si="16"/>
        <v>1598</v>
      </c>
      <c r="L65" s="12">
        <f t="shared" si="17"/>
        <v>0</v>
      </c>
      <c r="M65" s="15" t="s">
        <v>87</v>
      </c>
    </row>
    <row r="66" spans="2:13" ht="27" customHeight="1">
      <c r="B66" s="42"/>
      <c r="C66" s="10" t="s">
        <v>17</v>
      </c>
      <c r="D66" s="11" t="s">
        <v>88</v>
      </c>
      <c r="E66" s="12">
        <v>8400</v>
      </c>
      <c r="F66" s="12"/>
      <c r="G66" s="12">
        <f t="shared" si="13"/>
        <v>0</v>
      </c>
      <c r="H66" s="12">
        <f t="shared" si="14"/>
        <v>0</v>
      </c>
      <c r="I66" s="12">
        <f t="shared" si="15"/>
        <v>0</v>
      </c>
      <c r="J66" s="12">
        <v>6802</v>
      </c>
      <c r="K66" s="12">
        <f t="shared" si="16"/>
        <v>1598</v>
      </c>
      <c r="L66" s="12">
        <f t="shared" si="17"/>
        <v>0</v>
      </c>
      <c r="M66" s="15"/>
    </row>
    <row r="67" spans="2:13" ht="27" customHeight="1">
      <c r="B67" s="42"/>
      <c r="C67" s="10" t="s">
        <v>23</v>
      </c>
      <c r="D67" s="11" t="s">
        <v>89</v>
      </c>
      <c r="E67" s="12">
        <v>760</v>
      </c>
      <c r="F67" s="12"/>
      <c r="G67" s="12">
        <f t="shared" si="13"/>
        <v>0</v>
      </c>
      <c r="H67" s="12">
        <f t="shared" si="14"/>
        <v>0</v>
      </c>
      <c r="I67" s="12">
        <f t="shared" si="15"/>
        <v>0</v>
      </c>
      <c r="J67" s="12">
        <v>700</v>
      </c>
      <c r="K67" s="12">
        <f t="shared" si="16"/>
        <v>60</v>
      </c>
      <c r="L67" s="12">
        <f t="shared" si="17"/>
        <v>0</v>
      </c>
      <c r="M67" s="15"/>
    </row>
    <row r="68" spans="2:13" ht="27" customHeight="1">
      <c r="B68" s="42"/>
      <c r="C68" s="10" t="s">
        <v>23</v>
      </c>
      <c r="D68" s="11" t="s">
        <v>90</v>
      </c>
      <c r="E68" s="12">
        <v>760</v>
      </c>
      <c r="F68" s="12"/>
      <c r="G68" s="12">
        <f t="shared" si="13"/>
        <v>0</v>
      </c>
      <c r="H68" s="12">
        <f t="shared" si="14"/>
        <v>0</v>
      </c>
      <c r="I68" s="12">
        <f t="shared" si="15"/>
        <v>0</v>
      </c>
      <c r="J68" s="12">
        <v>715</v>
      </c>
      <c r="K68" s="12">
        <f t="shared" si="16"/>
        <v>45</v>
      </c>
      <c r="L68" s="12">
        <f t="shared" si="17"/>
        <v>0</v>
      </c>
      <c r="M68" s="15" t="s">
        <v>91</v>
      </c>
    </row>
    <row r="69" spans="2:13" ht="27" customHeight="1">
      <c r="B69" s="42"/>
      <c r="C69" s="10" t="s">
        <v>45</v>
      </c>
      <c r="D69" s="11" t="s">
        <v>92</v>
      </c>
      <c r="E69" s="12">
        <v>280</v>
      </c>
      <c r="F69" s="12"/>
      <c r="G69" s="12">
        <f t="shared" si="13"/>
        <v>0</v>
      </c>
      <c r="H69" s="12">
        <f t="shared" si="14"/>
        <v>0</v>
      </c>
      <c r="I69" s="12">
        <f t="shared" si="15"/>
        <v>0</v>
      </c>
      <c r="J69" s="12">
        <v>240</v>
      </c>
      <c r="K69" s="12">
        <f t="shared" si="16"/>
        <v>40</v>
      </c>
      <c r="L69" s="12">
        <f t="shared" si="17"/>
        <v>0</v>
      </c>
      <c r="M69" s="15"/>
    </row>
    <row r="70" spans="2:13" ht="27" customHeight="1">
      <c r="B70" s="42"/>
      <c r="C70" s="10" t="s">
        <v>45</v>
      </c>
      <c r="D70" s="11" t="s">
        <v>46</v>
      </c>
      <c r="E70" s="12">
        <v>1800</v>
      </c>
      <c r="F70" s="12"/>
      <c r="G70" s="12">
        <f t="shared" si="13"/>
        <v>0</v>
      </c>
      <c r="H70" s="12">
        <f t="shared" si="14"/>
        <v>0</v>
      </c>
      <c r="I70" s="12">
        <f t="shared" si="15"/>
        <v>0</v>
      </c>
      <c r="J70" s="12">
        <v>1273</v>
      </c>
      <c r="K70" s="12">
        <f t="shared" si="16"/>
        <v>527</v>
      </c>
      <c r="L70" s="12">
        <f t="shared" si="17"/>
        <v>0</v>
      </c>
      <c r="M70" s="15" t="s">
        <v>93</v>
      </c>
    </row>
    <row r="71" spans="2:13" ht="27" customHeight="1">
      <c r="B71" s="42"/>
      <c r="C71" s="10" t="s">
        <v>45</v>
      </c>
      <c r="D71" s="11" t="s">
        <v>94</v>
      </c>
      <c r="E71" s="12">
        <v>1400</v>
      </c>
      <c r="F71" s="12"/>
      <c r="G71" s="12">
        <f t="shared" si="13"/>
        <v>0</v>
      </c>
      <c r="H71" s="12">
        <f t="shared" si="14"/>
        <v>0</v>
      </c>
      <c r="I71" s="12">
        <f t="shared" si="15"/>
        <v>0</v>
      </c>
      <c r="J71" s="12">
        <v>630</v>
      </c>
      <c r="K71" s="12">
        <f t="shared" si="16"/>
        <v>770</v>
      </c>
      <c r="L71" s="12">
        <f t="shared" si="17"/>
        <v>0</v>
      </c>
      <c r="M71" s="15"/>
    </row>
    <row r="72" spans="2:13" ht="27" customHeight="1">
      <c r="B72" s="42"/>
      <c r="C72" s="10" t="s">
        <v>23</v>
      </c>
      <c r="D72" s="11" t="s">
        <v>95</v>
      </c>
      <c r="E72" s="12">
        <v>360</v>
      </c>
      <c r="F72" s="12"/>
      <c r="G72" s="12">
        <f t="shared" si="13"/>
        <v>0</v>
      </c>
      <c r="H72" s="12">
        <f t="shared" si="14"/>
        <v>0</v>
      </c>
      <c r="I72" s="12">
        <f t="shared" si="15"/>
        <v>0</v>
      </c>
      <c r="J72" s="12">
        <v>320</v>
      </c>
      <c r="K72" s="12">
        <f t="shared" si="16"/>
        <v>40</v>
      </c>
      <c r="L72" s="12">
        <f t="shared" si="17"/>
        <v>0</v>
      </c>
      <c r="M72" s="15"/>
    </row>
    <row r="73" spans="2:13" ht="27" customHeight="1">
      <c r="B73" s="42"/>
      <c r="C73" s="10" t="s">
        <v>23</v>
      </c>
      <c r="D73" s="11" t="s">
        <v>96</v>
      </c>
      <c r="E73" s="12">
        <v>340</v>
      </c>
      <c r="F73" s="12"/>
      <c r="G73" s="12">
        <f t="shared" si="13"/>
        <v>0</v>
      </c>
      <c r="H73" s="12">
        <f t="shared" si="14"/>
        <v>0</v>
      </c>
      <c r="I73" s="12">
        <f t="shared" si="15"/>
        <v>0</v>
      </c>
      <c r="J73" s="12">
        <v>300</v>
      </c>
      <c r="K73" s="12">
        <f t="shared" si="16"/>
        <v>40</v>
      </c>
      <c r="L73" s="12">
        <f t="shared" si="17"/>
        <v>0</v>
      </c>
      <c r="M73" s="15"/>
    </row>
    <row r="74" spans="2:13" ht="27" customHeight="1">
      <c r="B74" s="42"/>
      <c r="C74" s="10" t="s">
        <v>23</v>
      </c>
      <c r="D74" s="11" t="s">
        <v>97</v>
      </c>
      <c r="E74" s="12">
        <v>360</v>
      </c>
      <c r="F74" s="12"/>
      <c r="G74" s="12">
        <f t="shared" si="13"/>
        <v>0</v>
      </c>
      <c r="H74" s="12">
        <f t="shared" si="14"/>
        <v>0</v>
      </c>
      <c r="I74" s="12">
        <f t="shared" si="15"/>
        <v>0</v>
      </c>
      <c r="J74" s="12">
        <v>280</v>
      </c>
      <c r="K74" s="12">
        <f t="shared" si="16"/>
        <v>80</v>
      </c>
      <c r="L74" s="12"/>
      <c r="M74" s="15"/>
    </row>
    <row r="75" spans="2:13" ht="27" customHeight="1">
      <c r="B75" s="42"/>
      <c r="C75" s="10" t="s">
        <v>45</v>
      </c>
      <c r="D75" s="11" t="s">
        <v>98</v>
      </c>
      <c r="E75" s="12">
        <v>7000</v>
      </c>
      <c r="F75" s="12"/>
      <c r="G75" s="12">
        <f t="shared" si="13"/>
        <v>0</v>
      </c>
      <c r="H75" s="12">
        <f t="shared" si="14"/>
        <v>0</v>
      </c>
      <c r="I75" s="12">
        <f t="shared" si="15"/>
        <v>0</v>
      </c>
      <c r="J75" s="12">
        <v>4400</v>
      </c>
      <c r="K75" s="12">
        <f t="shared" si="16"/>
        <v>2600</v>
      </c>
      <c r="L75" s="12">
        <f>F75*K75</f>
        <v>0</v>
      </c>
      <c r="M75" s="15"/>
    </row>
    <row r="76" spans="2:13" ht="27" customHeight="1">
      <c r="B76" s="42"/>
      <c r="C76" s="10" t="s">
        <v>99</v>
      </c>
      <c r="D76" s="11" t="s">
        <v>100</v>
      </c>
      <c r="E76" s="12">
        <v>25000</v>
      </c>
      <c r="F76" s="12"/>
      <c r="G76" s="23">
        <f t="shared" si="13"/>
        <v>0</v>
      </c>
      <c r="H76" s="12">
        <f t="shared" si="14"/>
        <v>0</v>
      </c>
      <c r="I76" s="12">
        <f t="shared" si="15"/>
        <v>0</v>
      </c>
      <c r="J76" s="23"/>
      <c r="K76" s="23">
        <f t="shared" si="16"/>
        <v>25000</v>
      </c>
      <c r="L76" s="23">
        <f>F76*K76</f>
        <v>0</v>
      </c>
      <c r="M76" s="15"/>
    </row>
    <row r="77" spans="2:13" ht="27" customHeight="1">
      <c r="B77" s="43"/>
      <c r="C77" s="18"/>
      <c r="D77" s="26" t="s">
        <v>27</v>
      </c>
      <c r="E77" s="21"/>
      <c r="F77" s="21"/>
      <c r="G77" s="21">
        <f>SUM(G63:G76)</f>
        <v>0</v>
      </c>
      <c r="H77" s="21">
        <f>SUM(H63:H76)</f>
        <v>0</v>
      </c>
      <c r="I77" s="21">
        <f>SUM(I63:I76)</f>
        <v>0</v>
      </c>
      <c r="J77" s="21"/>
      <c r="K77" s="21"/>
      <c r="L77" s="21">
        <f>SUM(L63:L76)</f>
        <v>0</v>
      </c>
      <c r="M77" s="22" t="e">
        <f>L77/G77</f>
        <v>#DIV/0!</v>
      </c>
    </row>
    <row r="78" spans="2:13" ht="27" customHeight="1">
      <c r="B78" s="9" t="s">
        <v>101</v>
      </c>
      <c r="C78" s="10" t="s">
        <v>17</v>
      </c>
      <c r="D78" s="11" t="s">
        <v>102</v>
      </c>
      <c r="E78" s="12">
        <v>8500</v>
      </c>
      <c r="F78" s="12"/>
      <c r="G78" s="12">
        <f>E78*F78</f>
        <v>0</v>
      </c>
      <c r="H78" s="12">
        <f>G78/10</f>
        <v>0</v>
      </c>
      <c r="I78" s="12">
        <f>G78+H78</f>
        <v>0</v>
      </c>
      <c r="J78" s="12">
        <v>7112</v>
      </c>
      <c r="K78" s="12">
        <f>E78-J78</f>
        <v>1388</v>
      </c>
      <c r="L78" s="12">
        <f>F78*K78</f>
        <v>0</v>
      </c>
      <c r="M78" s="11"/>
    </row>
    <row r="79" spans="2:13" ht="27" customHeight="1">
      <c r="B79" s="13"/>
      <c r="C79" s="10" t="s">
        <v>14</v>
      </c>
      <c r="D79" s="11" t="s">
        <v>84</v>
      </c>
      <c r="E79" s="12">
        <v>11000</v>
      </c>
      <c r="F79" s="23"/>
      <c r="G79" s="23">
        <f>E79*F79</f>
        <v>0</v>
      </c>
      <c r="H79" s="12">
        <f>G79/10</f>
        <v>0</v>
      </c>
      <c r="I79" s="12">
        <f>G79+H79</f>
        <v>0</v>
      </c>
      <c r="J79" s="23">
        <v>8522</v>
      </c>
      <c r="K79" s="23">
        <f>E79-J79</f>
        <v>2478</v>
      </c>
      <c r="L79" s="23">
        <f>F79*K79</f>
        <v>0</v>
      </c>
      <c r="M79" s="11"/>
    </row>
    <row r="80" spans="2:13" ht="27" customHeight="1">
      <c r="B80" s="13"/>
      <c r="C80" s="10" t="s">
        <v>23</v>
      </c>
      <c r="D80" s="11" t="s">
        <v>103</v>
      </c>
      <c r="E80" s="12">
        <v>320</v>
      </c>
      <c r="F80" s="23"/>
      <c r="G80" s="23">
        <f>E80*F80</f>
        <v>0</v>
      </c>
      <c r="H80" s="12">
        <f>G80/10</f>
        <v>0</v>
      </c>
      <c r="I80" s="12">
        <f>G80+H80</f>
        <v>0</v>
      </c>
      <c r="J80" s="23">
        <v>270</v>
      </c>
      <c r="K80" s="23">
        <f>E80-J80</f>
        <v>50</v>
      </c>
      <c r="L80" s="23">
        <f>F80*K80</f>
        <v>0</v>
      </c>
      <c r="M80" s="11"/>
    </row>
    <row r="81" spans="2:13" ht="27" customHeight="1">
      <c r="B81" s="17"/>
      <c r="C81" s="18"/>
      <c r="D81" s="26" t="s">
        <v>27</v>
      </c>
      <c r="E81" s="21"/>
      <c r="F81" s="21"/>
      <c r="G81" s="21">
        <f>SUM(G78:G80)</f>
        <v>0</v>
      </c>
      <c r="H81" s="21">
        <f>SUM(H78:H80)</f>
        <v>0</v>
      </c>
      <c r="I81" s="21">
        <f>SUM(I78:I80)</f>
        <v>0</v>
      </c>
      <c r="J81" s="21"/>
      <c r="K81" s="21"/>
      <c r="L81" s="21">
        <f>SUM(L78:L80)</f>
        <v>0</v>
      </c>
      <c r="M81" s="22" t="e">
        <f>L81/G81</f>
        <v>#DIV/0!</v>
      </c>
    </row>
    <row r="82" spans="2:13" ht="27" customHeight="1">
      <c r="B82" s="9" t="s">
        <v>104</v>
      </c>
      <c r="C82" s="10" t="s">
        <v>17</v>
      </c>
      <c r="D82" s="11" t="s">
        <v>105</v>
      </c>
      <c r="E82" s="12">
        <v>3000</v>
      </c>
      <c r="F82" s="23"/>
      <c r="G82" s="23">
        <f>E82*F82</f>
        <v>0</v>
      </c>
      <c r="H82" s="12">
        <f t="shared" ref="H82:H94" si="18">G82/10</f>
        <v>0</v>
      </c>
      <c r="I82" s="12">
        <f t="shared" ref="I82:I94" si="19">G82+H82</f>
        <v>0</v>
      </c>
      <c r="J82" s="23">
        <v>2400</v>
      </c>
      <c r="K82" s="23">
        <f>E82-J82</f>
        <v>600</v>
      </c>
      <c r="L82" s="23">
        <f>F82*K82</f>
        <v>0</v>
      </c>
      <c r="M82" s="11"/>
    </row>
    <row r="83" spans="2:13" ht="27" customHeight="1">
      <c r="B83" s="13"/>
      <c r="C83" s="10" t="s">
        <v>17</v>
      </c>
      <c r="D83" s="11" t="s">
        <v>106</v>
      </c>
      <c r="E83" s="12">
        <v>7000</v>
      </c>
      <c r="F83" s="23"/>
      <c r="G83" s="23">
        <f>E83*F83</f>
        <v>0</v>
      </c>
      <c r="H83" s="12">
        <f t="shared" si="18"/>
        <v>0</v>
      </c>
      <c r="I83" s="12">
        <f t="shared" si="19"/>
        <v>0</v>
      </c>
      <c r="J83" s="23">
        <v>2400</v>
      </c>
      <c r="K83" s="23">
        <f>E83-J83</f>
        <v>4600</v>
      </c>
      <c r="L83" s="23">
        <f>F83*K83</f>
        <v>0</v>
      </c>
      <c r="M83" s="11"/>
    </row>
    <row r="84" spans="2:13" ht="27" customHeight="1">
      <c r="B84" s="13"/>
      <c r="C84" s="10" t="s">
        <v>23</v>
      </c>
      <c r="D84" s="11" t="s">
        <v>107</v>
      </c>
      <c r="E84" s="12">
        <v>130</v>
      </c>
      <c r="F84" s="23"/>
      <c r="G84" s="23">
        <f>E84*F84</f>
        <v>0</v>
      </c>
      <c r="H84" s="12">
        <f t="shared" si="18"/>
        <v>0</v>
      </c>
      <c r="I84" s="12">
        <f t="shared" si="19"/>
        <v>0</v>
      </c>
      <c r="J84" s="23">
        <v>100</v>
      </c>
      <c r="K84" s="23">
        <f>E84-J84</f>
        <v>30</v>
      </c>
      <c r="L84" s="23">
        <f>F84*K84</f>
        <v>0</v>
      </c>
      <c r="M84" s="11"/>
    </row>
    <row r="85" spans="2:13" ht="27" customHeight="1">
      <c r="B85" s="13"/>
      <c r="C85" s="10" t="s">
        <v>23</v>
      </c>
      <c r="D85" s="11" t="s">
        <v>108</v>
      </c>
      <c r="E85" s="12">
        <v>290</v>
      </c>
      <c r="F85" s="23"/>
      <c r="G85" s="23">
        <f>E85*F85</f>
        <v>0</v>
      </c>
      <c r="H85" s="12">
        <f t="shared" si="18"/>
        <v>0</v>
      </c>
      <c r="I85" s="12">
        <f t="shared" si="19"/>
        <v>0</v>
      </c>
      <c r="J85" s="23">
        <v>290</v>
      </c>
      <c r="K85" s="23">
        <f>E85-J85</f>
        <v>0</v>
      </c>
      <c r="L85" s="23">
        <f>F85*K85</f>
        <v>0</v>
      </c>
      <c r="M85" s="11"/>
    </row>
    <row r="86" spans="2:13" ht="27" customHeight="1">
      <c r="B86" s="17"/>
      <c r="C86" s="18"/>
      <c r="D86" s="26" t="s">
        <v>27</v>
      </c>
      <c r="E86" s="21"/>
      <c r="F86" s="21"/>
      <c r="G86" s="21">
        <f>SUM(G82:G85)</f>
        <v>0</v>
      </c>
      <c r="H86" s="21">
        <f t="shared" si="18"/>
        <v>0</v>
      </c>
      <c r="I86" s="21">
        <f t="shared" si="19"/>
        <v>0</v>
      </c>
      <c r="J86" s="21"/>
      <c r="K86" s="21"/>
      <c r="L86" s="21">
        <f>SUM(L82:L85)</f>
        <v>0</v>
      </c>
      <c r="M86" s="26"/>
    </row>
    <row r="87" spans="2:13" ht="27" customHeight="1">
      <c r="B87" s="9" t="s">
        <v>109</v>
      </c>
      <c r="C87" s="10" t="s">
        <v>23</v>
      </c>
      <c r="D87" s="11" t="s">
        <v>110</v>
      </c>
      <c r="E87" s="12">
        <v>680</v>
      </c>
      <c r="F87" s="23"/>
      <c r="G87" s="23">
        <f>E87*F87</f>
        <v>0</v>
      </c>
      <c r="H87" s="12">
        <f t="shared" si="18"/>
        <v>0</v>
      </c>
      <c r="I87" s="12">
        <f t="shared" si="19"/>
        <v>0</v>
      </c>
      <c r="J87" s="23">
        <v>420</v>
      </c>
      <c r="K87" s="23">
        <f>E87-J87</f>
        <v>260</v>
      </c>
      <c r="L87" s="23">
        <f>F87*K87</f>
        <v>0</v>
      </c>
      <c r="M87" s="11"/>
    </row>
    <row r="88" spans="2:13" ht="27" customHeight="1">
      <c r="B88" s="13"/>
      <c r="C88" s="10" t="s">
        <v>23</v>
      </c>
      <c r="D88" s="11" t="s">
        <v>111</v>
      </c>
      <c r="E88" s="12">
        <v>350</v>
      </c>
      <c r="F88" s="23"/>
      <c r="G88" s="23">
        <f>E88*F88</f>
        <v>0</v>
      </c>
      <c r="H88" s="12">
        <f t="shared" si="18"/>
        <v>0</v>
      </c>
      <c r="I88" s="12">
        <f t="shared" si="19"/>
        <v>0</v>
      </c>
      <c r="J88" s="23">
        <v>270</v>
      </c>
      <c r="K88" s="23">
        <f>E88-J88</f>
        <v>80</v>
      </c>
      <c r="L88" s="23">
        <f>F88*K88</f>
        <v>0</v>
      </c>
      <c r="M88" s="11"/>
    </row>
    <row r="89" spans="2:13" ht="27" customHeight="1">
      <c r="B89" s="13"/>
      <c r="C89" s="10" t="s">
        <v>99</v>
      </c>
      <c r="D89" s="11" t="s">
        <v>112</v>
      </c>
      <c r="E89" s="12">
        <v>200000</v>
      </c>
      <c r="F89" s="23"/>
      <c r="G89" s="23">
        <f>E89*F89</f>
        <v>0</v>
      </c>
      <c r="H89" s="12">
        <f t="shared" si="18"/>
        <v>0</v>
      </c>
      <c r="I89" s="12">
        <f t="shared" si="19"/>
        <v>0</v>
      </c>
      <c r="J89" s="23"/>
      <c r="K89" s="23">
        <f>E89-J89</f>
        <v>200000</v>
      </c>
      <c r="L89" s="23">
        <f>F89*K89</f>
        <v>0</v>
      </c>
      <c r="M89" s="11"/>
    </row>
    <row r="90" spans="2:13" ht="27" customHeight="1">
      <c r="B90" s="17"/>
      <c r="C90" s="18"/>
      <c r="D90" s="26" t="s">
        <v>27</v>
      </c>
      <c r="E90" s="21"/>
      <c r="F90" s="21"/>
      <c r="G90" s="21">
        <f>SUM(G87:G89)</f>
        <v>0</v>
      </c>
      <c r="H90" s="21">
        <f t="shared" si="18"/>
        <v>0</v>
      </c>
      <c r="I90" s="21">
        <f t="shared" si="19"/>
        <v>0</v>
      </c>
      <c r="J90" s="21"/>
      <c r="K90" s="21"/>
      <c r="L90" s="21">
        <f>SUM(L87:L89)</f>
        <v>0</v>
      </c>
      <c r="M90" s="26"/>
    </row>
    <row r="91" spans="2:13" ht="27" customHeight="1">
      <c r="B91" s="9" t="s">
        <v>113</v>
      </c>
      <c r="C91" s="10" t="s">
        <v>17</v>
      </c>
      <c r="D91" s="44" t="s">
        <v>114</v>
      </c>
      <c r="E91" s="12">
        <v>7600</v>
      </c>
      <c r="F91" s="23">
        <v>300</v>
      </c>
      <c r="G91" s="23">
        <f>E91*F91</f>
        <v>2280000</v>
      </c>
      <c r="H91" s="12">
        <f t="shared" si="18"/>
        <v>228000</v>
      </c>
      <c r="I91" s="12">
        <f t="shared" si="19"/>
        <v>2508000</v>
      </c>
      <c r="J91" s="23">
        <v>6802</v>
      </c>
      <c r="K91" s="23">
        <f>E91-J91</f>
        <v>798</v>
      </c>
      <c r="L91" s="23">
        <f>F91*K91</f>
        <v>239400</v>
      </c>
      <c r="M91" s="45">
        <v>300</v>
      </c>
    </row>
    <row r="92" spans="2:13" ht="27" customHeight="1">
      <c r="B92" s="13"/>
      <c r="C92" s="10" t="s">
        <v>17</v>
      </c>
      <c r="D92" s="34" t="s">
        <v>115</v>
      </c>
      <c r="E92" s="12">
        <v>7600</v>
      </c>
      <c r="F92" s="23"/>
      <c r="G92" s="23">
        <f>E92*F92</f>
        <v>0</v>
      </c>
      <c r="H92" s="12">
        <f t="shared" si="18"/>
        <v>0</v>
      </c>
      <c r="I92" s="12">
        <f t="shared" si="19"/>
        <v>0</v>
      </c>
      <c r="J92" s="23">
        <v>6802</v>
      </c>
      <c r="K92" s="23">
        <f>E92-J92</f>
        <v>798</v>
      </c>
      <c r="L92" s="23">
        <f>F92*K92</f>
        <v>0</v>
      </c>
      <c r="M92" s="45"/>
    </row>
    <row r="93" spans="2:13" ht="27" customHeight="1">
      <c r="B93" s="13"/>
      <c r="C93" s="10" t="s">
        <v>17</v>
      </c>
      <c r="D93" s="46" t="s">
        <v>116</v>
      </c>
      <c r="E93" s="12">
        <v>7600</v>
      </c>
      <c r="F93" s="23">
        <v>200</v>
      </c>
      <c r="G93" s="23">
        <f>E93*F93</f>
        <v>1520000</v>
      </c>
      <c r="H93" s="12">
        <f t="shared" si="18"/>
        <v>152000</v>
      </c>
      <c r="I93" s="12">
        <f t="shared" si="19"/>
        <v>1672000</v>
      </c>
      <c r="J93" s="23">
        <v>6802</v>
      </c>
      <c r="K93" s="23">
        <f>E93-J93</f>
        <v>798</v>
      </c>
      <c r="L93" s="23">
        <f>F93*K93</f>
        <v>159600</v>
      </c>
      <c r="M93" s="45">
        <v>200</v>
      </c>
    </row>
    <row r="94" spans="2:13" ht="27" customHeight="1">
      <c r="B94" s="13"/>
      <c r="C94" s="10" t="s">
        <v>17</v>
      </c>
      <c r="D94" s="35" t="s">
        <v>117</v>
      </c>
      <c r="E94" s="12">
        <v>7600</v>
      </c>
      <c r="F94" s="23"/>
      <c r="G94" s="23">
        <f>E94*F94</f>
        <v>0</v>
      </c>
      <c r="H94" s="12">
        <f t="shared" si="18"/>
        <v>0</v>
      </c>
      <c r="I94" s="12">
        <f t="shared" si="19"/>
        <v>0</v>
      </c>
      <c r="J94" s="23">
        <v>6802</v>
      </c>
      <c r="K94" s="23">
        <f>E94-J94</f>
        <v>798</v>
      </c>
      <c r="L94" s="23">
        <f>F94*K94</f>
        <v>0</v>
      </c>
      <c r="M94" s="11"/>
    </row>
    <row r="95" spans="2:13" ht="27" customHeight="1">
      <c r="B95" s="17"/>
      <c r="C95" s="18"/>
      <c r="D95" s="26" t="s">
        <v>27</v>
      </c>
      <c r="E95" s="21"/>
      <c r="F95" s="21">
        <f>SUM(F91:F94)</f>
        <v>500</v>
      </c>
      <c r="G95" s="21">
        <f>SUM(G91:G94)</f>
        <v>3800000</v>
      </c>
      <c r="H95" s="21">
        <f>SUM(H91:H94)</f>
        <v>380000</v>
      </c>
      <c r="I95" s="21">
        <f>SUM(I91:I94)</f>
        <v>4180000</v>
      </c>
      <c r="J95" s="21"/>
      <c r="K95" s="21"/>
      <c r="L95" s="21">
        <f>SUM(L91:L94)</f>
        <v>399000</v>
      </c>
      <c r="M95" s="22">
        <f>L95/G95</f>
        <v>0.105</v>
      </c>
    </row>
    <row r="96" spans="2:13" ht="27" customHeight="1">
      <c r="B96" s="27" t="s">
        <v>118</v>
      </c>
      <c r="C96" s="10" t="s">
        <v>23</v>
      </c>
      <c r="D96" s="11" t="s">
        <v>119</v>
      </c>
      <c r="E96" s="12">
        <v>390</v>
      </c>
      <c r="F96" s="12"/>
      <c r="G96" s="12">
        <f t="shared" ref="G96:G125" si="20">E96*F96</f>
        <v>0</v>
      </c>
      <c r="H96" s="12">
        <f t="shared" ref="H96:H127" si="21">G96/10</f>
        <v>0</v>
      </c>
      <c r="I96" s="12">
        <f t="shared" ref="I96:I127" si="22">G96+H96</f>
        <v>0</v>
      </c>
      <c r="J96" s="12">
        <v>340</v>
      </c>
      <c r="K96" s="12">
        <f t="shared" ref="K96:K125" si="23">E96-J96</f>
        <v>50</v>
      </c>
      <c r="L96" s="12">
        <f t="shared" ref="L96:L125" si="24">F96*K96</f>
        <v>0</v>
      </c>
      <c r="M96" s="47" t="s">
        <v>120</v>
      </c>
    </row>
    <row r="97" spans="2:14" ht="27" customHeight="1">
      <c r="B97" s="30"/>
      <c r="C97" s="10" t="s">
        <v>23</v>
      </c>
      <c r="D97" s="11" t="s">
        <v>121</v>
      </c>
      <c r="E97" s="12">
        <v>390</v>
      </c>
      <c r="F97" s="12"/>
      <c r="G97" s="12">
        <f t="shared" si="20"/>
        <v>0</v>
      </c>
      <c r="H97" s="12">
        <f t="shared" si="21"/>
        <v>0</v>
      </c>
      <c r="I97" s="12">
        <f t="shared" si="22"/>
        <v>0</v>
      </c>
      <c r="J97" s="12">
        <v>340</v>
      </c>
      <c r="K97" s="12">
        <f t="shared" si="23"/>
        <v>50</v>
      </c>
      <c r="L97" s="12">
        <f t="shared" si="24"/>
        <v>0</v>
      </c>
      <c r="M97" s="47" t="s">
        <v>120</v>
      </c>
    </row>
    <row r="98" spans="2:14" ht="27" customHeight="1">
      <c r="B98" s="30"/>
      <c r="C98" s="10" t="s">
        <v>23</v>
      </c>
      <c r="D98" s="11" t="s">
        <v>122</v>
      </c>
      <c r="E98" s="12">
        <v>390</v>
      </c>
      <c r="F98" s="12"/>
      <c r="G98" s="12">
        <f t="shared" si="20"/>
        <v>0</v>
      </c>
      <c r="H98" s="12">
        <f t="shared" si="21"/>
        <v>0</v>
      </c>
      <c r="I98" s="12">
        <f t="shared" si="22"/>
        <v>0</v>
      </c>
      <c r="J98" s="12">
        <v>340</v>
      </c>
      <c r="K98" s="12">
        <f t="shared" si="23"/>
        <v>50</v>
      </c>
      <c r="L98" s="12">
        <f t="shared" si="24"/>
        <v>0</v>
      </c>
      <c r="M98" s="47" t="s">
        <v>120</v>
      </c>
    </row>
    <row r="99" spans="2:14" ht="27" customHeight="1">
      <c r="B99" s="30"/>
      <c r="C99" s="10" t="s">
        <v>23</v>
      </c>
      <c r="D99" s="11" t="s">
        <v>123</v>
      </c>
      <c r="E99" s="12">
        <v>390</v>
      </c>
      <c r="F99" s="12"/>
      <c r="G99" s="12">
        <f t="shared" si="20"/>
        <v>0</v>
      </c>
      <c r="H99" s="12">
        <f t="shared" si="21"/>
        <v>0</v>
      </c>
      <c r="I99" s="12">
        <f t="shared" si="22"/>
        <v>0</v>
      </c>
      <c r="J99" s="12">
        <v>340</v>
      </c>
      <c r="K99" s="12">
        <f t="shared" si="23"/>
        <v>50</v>
      </c>
      <c r="L99" s="12">
        <f t="shared" si="24"/>
        <v>0</v>
      </c>
      <c r="M99" s="47" t="s">
        <v>120</v>
      </c>
    </row>
    <row r="100" spans="2:14" ht="27" customHeight="1">
      <c r="B100" s="30"/>
      <c r="C100" s="10" t="s">
        <v>23</v>
      </c>
      <c r="D100" s="11" t="s">
        <v>124</v>
      </c>
      <c r="E100" s="12">
        <v>390</v>
      </c>
      <c r="F100" s="12"/>
      <c r="G100" s="12">
        <f t="shared" si="20"/>
        <v>0</v>
      </c>
      <c r="H100" s="12">
        <f t="shared" si="21"/>
        <v>0</v>
      </c>
      <c r="I100" s="12">
        <f t="shared" si="22"/>
        <v>0</v>
      </c>
      <c r="J100" s="12">
        <v>340</v>
      </c>
      <c r="K100" s="12">
        <f t="shared" si="23"/>
        <v>50</v>
      </c>
      <c r="L100" s="12">
        <f t="shared" si="24"/>
        <v>0</v>
      </c>
      <c r="M100" s="47" t="s">
        <v>120</v>
      </c>
    </row>
    <row r="101" spans="2:14" ht="27" customHeight="1">
      <c r="B101" s="30"/>
      <c r="C101" s="10" t="s">
        <v>17</v>
      </c>
      <c r="D101" s="11" t="s">
        <v>125</v>
      </c>
      <c r="E101" s="12">
        <v>6400</v>
      </c>
      <c r="F101" s="12"/>
      <c r="G101" s="12">
        <f t="shared" si="20"/>
        <v>0</v>
      </c>
      <c r="H101" s="12">
        <f t="shared" si="21"/>
        <v>0</v>
      </c>
      <c r="I101" s="12">
        <f t="shared" si="22"/>
        <v>0</v>
      </c>
      <c r="J101" s="12">
        <v>5800</v>
      </c>
      <c r="K101" s="12">
        <f t="shared" si="23"/>
        <v>600</v>
      </c>
      <c r="L101" s="12">
        <f t="shared" si="24"/>
        <v>0</v>
      </c>
      <c r="M101" s="11"/>
    </row>
    <row r="102" spans="2:14" ht="27" customHeight="1">
      <c r="B102" s="30"/>
      <c r="C102" s="10" t="s">
        <v>23</v>
      </c>
      <c r="D102" s="11" t="s">
        <v>126</v>
      </c>
      <c r="E102" s="12">
        <v>500</v>
      </c>
      <c r="F102" s="12"/>
      <c r="G102" s="12">
        <f t="shared" si="20"/>
        <v>0</v>
      </c>
      <c r="H102" s="12">
        <f t="shared" si="21"/>
        <v>0</v>
      </c>
      <c r="I102" s="12">
        <f t="shared" si="22"/>
        <v>0</v>
      </c>
      <c r="J102" s="12">
        <v>450</v>
      </c>
      <c r="K102" s="12">
        <f t="shared" si="23"/>
        <v>50</v>
      </c>
      <c r="L102" s="12">
        <f t="shared" si="24"/>
        <v>0</v>
      </c>
      <c r="M102" s="11"/>
    </row>
    <row r="103" spans="2:14" ht="27" customHeight="1">
      <c r="B103" s="30"/>
      <c r="C103" s="10" t="s">
        <v>23</v>
      </c>
      <c r="D103" s="11" t="s">
        <v>127</v>
      </c>
      <c r="E103" s="12">
        <v>560</v>
      </c>
      <c r="F103" s="12"/>
      <c r="G103" s="12">
        <f t="shared" si="20"/>
        <v>0</v>
      </c>
      <c r="H103" s="12">
        <f t="shared" si="21"/>
        <v>0</v>
      </c>
      <c r="I103" s="12">
        <f t="shared" si="22"/>
        <v>0</v>
      </c>
      <c r="J103" s="12">
        <v>450</v>
      </c>
      <c r="K103" s="12">
        <f t="shared" si="23"/>
        <v>110</v>
      </c>
      <c r="L103" s="12">
        <f t="shared" si="24"/>
        <v>0</v>
      </c>
      <c r="M103" s="11"/>
    </row>
    <row r="104" spans="2:14" ht="27" customHeight="1">
      <c r="B104" s="30"/>
      <c r="C104" s="10" t="s">
        <v>23</v>
      </c>
      <c r="D104" s="11" t="s">
        <v>128</v>
      </c>
      <c r="E104" s="12">
        <v>720</v>
      </c>
      <c r="F104" s="12"/>
      <c r="G104" s="12">
        <f t="shared" si="20"/>
        <v>0</v>
      </c>
      <c r="H104" s="12">
        <f t="shared" si="21"/>
        <v>0</v>
      </c>
      <c r="I104" s="12">
        <f t="shared" si="22"/>
        <v>0</v>
      </c>
      <c r="J104" s="12">
        <v>450</v>
      </c>
      <c r="K104" s="12">
        <f t="shared" si="23"/>
        <v>270</v>
      </c>
      <c r="L104" s="12">
        <f t="shared" si="24"/>
        <v>0</v>
      </c>
      <c r="M104" s="11"/>
    </row>
    <row r="105" spans="2:14" ht="27" customHeight="1">
      <c r="B105" s="30"/>
      <c r="C105" s="10" t="s">
        <v>23</v>
      </c>
      <c r="D105" s="48" t="s">
        <v>129</v>
      </c>
      <c r="E105" s="12">
        <v>560</v>
      </c>
      <c r="F105" s="12"/>
      <c r="G105" s="12">
        <f t="shared" si="20"/>
        <v>0</v>
      </c>
      <c r="H105" s="12">
        <f t="shared" si="21"/>
        <v>0</v>
      </c>
      <c r="I105" s="12">
        <f t="shared" si="22"/>
        <v>0</v>
      </c>
      <c r="J105" s="12">
        <v>450</v>
      </c>
      <c r="K105" s="12">
        <f t="shared" si="23"/>
        <v>110</v>
      </c>
      <c r="L105" s="12">
        <f t="shared" si="24"/>
        <v>0</v>
      </c>
      <c r="M105" s="11"/>
    </row>
    <row r="106" spans="2:14" ht="27" customHeight="1">
      <c r="B106" s="30"/>
      <c r="C106" s="10" t="s">
        <v>23</v>
      </c>
      <c r="D106" s="48" t="s">
        <v>130</v>
      </c>
      <c r="E106" s="12">
        <v>560</v>
      </c>
      <c r="F106" s="12"/>
      <c r="G106" s="12">
        <f t="shared" si="20"/>
        <v>0</v>
      </c>
      <c r="H106" s="12">
        <f t="shared" si="21"/>
        <v>0</v>
      </c>
      <c r="I106" s="12">
        <f t="shared" si="22"/>
        <v>0</v>
      </c>
      <c r="J106" s="12">
        <v>450</v>
      </c>
      <c r="K106" s="12">
        <f t="shared" si="23"/>
        <v>110</v>
      </c>
      <c r="L106" s="12">
        <f t="shared" si="24"/>
        <v>0</v>
      </c>
      <c r="M106" s="11"/>
    </row>
    <row r="107" spans="2:14" ht="27" customHeight="1">
      <c r="B107" s="30"/>
      <c r="C107" s="10" t="s">
        <v>23</v>
      </c>
      <c r="D107" s="48" t="s">
        <v>131</v>
      </c>
      <c r="E107" s="12">
        <v>560</v>
      </c>
      <c r="F107" s="12"/>
      <c r="G107" s="12">
        <f t="shared" si="20"/>
        <v>0</v>
      </c>
      <c r="H107" s="12">
        <f t="shared" si="21"/>
        <v>0</v>
      </c>
      <c r="I107" s="12">
        <f t="shared" si="22"/>
        <v>0</v>
      </c>
      <c r="J107" s="12">
        <v>450</v>
      </c>
      <c r="K107" s="12">
        <f t="shared" si="23"/>
        <v>110</v>
      </c>
      <c r="L107" s="12">
        <f t="shared" si="24"/>
        <v>0</v>
      </c>
      <c r="M107" s="11"/>
    </row>
    <row r="108" spans="2:14" ht="27" customHeight="1">
      <c r="B108" s="30"/>
      <c r="C108" s="10" t="s">
        <v>23</v>
      </c>
      <c r="D108" s="11" t="s">
        <v>132</v>
      </c>
      <c r="E108" s="12">
        <v>560</v>
      </c>
      <c r="F108" s="12"/>
      <c r="G108" s="12">
        <f t="shared" si="20"/>
        <v>0</v>
      </c>
      <c r="H108" s="12">
        <f t="shared" si="21"/>
        <v>0</v>
      </c>
      <c r="I108" s="12">
        <f t="shared" si="22"/>
        <v>0</v>
      </c>
      <c r="J108" s="12">
        <v>465</v>
      </c>
      <c r="K108" s="12">
        <f t="shared" si="23"/>
        <v>95</v>
      </c>
      <c r="L108" s="12">
        <f t="shared" si="24"/>
        <v>0</v>
      </c>
      <c r="M108" s="11"/>
    </row>
    <row r="109" spans="2:14" ht="27" customHeight="1">
      <c r="B109" s="30"/>
      <c r="C109" s="10" t="s">
        <v>23</v>
      </c>
      <c r="D109" s="11" t="s">
        <v>133</v>
      </c>
      <c r="E109" s="12">
        <v>580</v>
      </c>
      <c r="F109" s="12"/>
      <c r="G109" s="12">
        <f t="shared" si="20"/>
        <v>0</v>
      </c>
      <c r="H109" s="12">
        <f t="shared" si="21"/>
        <v>0</v>
      </c>
      <c r="I109" s="12">
        <f t="shared" si="22"/>
        <v>0</v>
      </c>
      <c r="J109" s="12">
        <v>450</v>
      </c>
      <c r="K109" s="12">
        <f t="shared" si="23"/>
        <v>130</v>
      </c>
      <c r="L109" s="12">
        <f t="shared" si="24"/>
        <v>0</v>
      </c>
      <c r="M109" s="11"/>
    </row>
    <row r="110" spans="2:14" ht="27" customHeight="1">
      <c r="B110" s="30"/>
      <c r="C110" s="10" t="s">
        <v>23</v>
      </c>
      <c r="D110" s="48" t="s">
        <v>134</v>
      </c>
      <c r="E110" s="12">
        <v>560</v>
      </c>
      <c r="F110" s="12">
        <v>10080</v>
      </c>
      <c r="G110" s="12">
        <f t="shared" si="20"/>
        <v>5644800</v>
      </c>
      <c r="H110" s="12">
        <f t="shared" si="21"/>
        <v>564480</v>
      </c>
      <c r="I110" s="12">
        <f t="shared" si="22"/>
        <v>6209280</v>
      </c>
      <c r="J110" s="12">
        <v>450</v>
      </c>
      <c r="K110" s="12">
        <f t="shared" si="23"/>
        <v>110</v>
      </c>
      <c r="L110" s="12">
        <f t="shared" si="24"/>
        <v>1108800</v>
      </c>
      <c r="M110" s="11"/>
    </row>
    <row r="111" spans="2:14" ht="27" customHeight="1">
      <c r="B111" s="30"/>
      <c r="C111" s="10" t="s">
        <v>23</v>
      </c>
      <c r="D111" s="48" t="s">
        <v>135</v>
      </c>
      <c r="E111" s="12">
        <v>560</v>
      </c>
      <c r="F111" s="12"/>
      <c r="G111" s="12">
        <f t="shared" si="20"/>
        <v>0</v>
      </c>
      <c r="H111" s="12">
        <f t="shared" si="21"/>
        <v>0</v>
      </c>
      <c r="I111" s="12">
        <f t="shared" si="22"/>
        <v>0</v>
      </c>
      <c r="J111" s="12">
        <v>450</v>
      </c>
      <c r="K111" s="12">
        <f t="shared" si="23"/>
        <v>110</v>
      </c>
      <c r="L111" s="12">
        <f t="shared" si="24"/>
        <v>0</v>
      </c>
      <c r="M111" s="11"/>
    </row>
    <row r="112" spans="2:14" ht="27" customHeight="1">
      <c r="B112" s="30"/>
      <c r="C112" s="10" t="s">
        <v>23</v>
      </c>
      <c r="D112" s="48" t="s">
        <v>136</v>
      </c>
      <c r="E112" s="12">
        <v>580</v>
      </c>
      <c r="F112" s="12"/>
      <c r="G112" s="49">
        <f t="shared" si="20"/>
        <v>0</v>
      </c>
      <c r="H112" s="12">
        <f t="shared" si="21"/>
        <v>0</v>
      </c>
      <c r="I112" s="12">
        <f t="shared" si="22"/>
        <v>0</v>
      </c>
      <c r="J112" s="12">
        <v>475</v>
      </c>
      <c r="K112" s="12">
        <f t="shared" si="23"/>
        <v>105</v>
      </c>
      <c r="L112" s="12">
        <f t="shared" si="24"/>
        <v>0</v>
      </c>
      <c r="M112" s="11"/>
      <c r="N112" s="2"/>
    </row>
    <row r="113" spans="2:13" ht="27" customHeight="1">
      <c r="B113" s="30"/>
      <c r="C113" s="10" t="s">
        <v>23</v>
      </c>
      <c r="D113" s="48" t="s">
        <v>137</v>
      </c>
      <c r="E113" s="12">
        <v>580</v>
      </c>
      <c r="F113" s="12"/>
      <c r="G113" s="12">
        <f t="shared" si="20"/>
        <v>0</v>
      </c>
      <c r="H113" s="12">
        <f t="shared" si="21"/>
        <v>0</v>
      </c>
      <c r="I113" s="12">
        <f t="shared" si="22"/>
        <v>0</v>
      </c>
      <c r="J113" s="12">
        <v>475</v>
      </c>
      <c r="K113" s="12">
        <f t="shared" si="23"/>
        <v>105</v>
      </c>
      <c r="L113" s="12">
        <f t="shared" si="24"/>
        <v>0</v>
      </c>
      <c r="M113" s="11"/>
    </row>
    <row r="114" spans="2:13" ht="27" customHeight="1">
      <c r="B114" s="30"/>
      <c r="C114" s="10" t="s">
        <v>23</v>
      </c>
      <c r="D114" s="48" t="s">
        <v>138</v>
      </c>
      <c r="E114" s="12">
        <v>580</v>
      </c>
      <c r="F114" s="12"/>
      <c r="G114" s="12">
        <f t="shared" si="20"/>
        <v>0</v>
      </c>
      <c r="H114" s="12">
        <f t="shared" si="21"/>
        <v>0</v>
      </c>
      <c r="I114" s="12">
        <f t="shared" si="22"/>
        <v>0</v>
      </c>
      <c r="J114" s="12">
        <v>475</v>
      </c>
      <c r="K114" s="12">
        <f t="shared" si="23"/>
        <v>105</v>
      </c>
      <c r="L114" s="12">
        <f t="shared" si="24"/>
        <v>0</v>
      </c>
      <c r="M114" s="11"/>
    </row>
    <row r="115" spans="2:13" ht="27" customHeight="1">
      <c r="B115" s="30"/>
      <c r="C115" s="10" t="s">
        <v>23</v>
      </c>
      <c r="D115" s="11" t="s">
        <v>139</v>
      </c>
      <c r="E115" s="12">
        <v>360</v>
      </c>
      <c r="F115" s="12"/>
      <c r="G115" s="12">
        <f t="shared" si="20"/>
        <v>0</v>
      </c>
      <c r="H115" s="12">
        <f t="shared" si="21"/>
        <v>0</v>
      </c>
      <c r="I115" s="12">
        <f t="shared" si="22"/>
        <v>0</v>
      </c>
      <c r="J115" s="12">
        <v>270</v>
      </c>
      <c r="K115" s="12">
        <f t="shared" si="23"/>
        <v>90</v>
      </c>
      <c r="L115" s="12">
        <f t="shared" si="24"/>
        <v>0</v>
      </c>
      <c r="M115" s="11"/>
    </row>
    <row r="116" spans="2:13" ht="27" customHeight="1">
      <c r="B116" s="30"/>
      <c r="C116" s="10" t="s">
        <v>23</v>
      </c>
      <c r="D116" s="11" t="s">
        <v>140</v>
      </c>
      <c r="E116" s="12">
        <v>360</v>
      </c>
      <c r="F116" s="12"/>
      <c r="G116" s="12">
        <f t="shared" si="20"/>
        <v>0</v>
      </c>
      <c r="H116" s="12">
        <f t="shared" si="21"/>
        <v>0</v>
      </c>
      <c r="I116" s="12">
        <f t="shared" si="22"/>
        <v>0</v>
      </c>
      <c r="J116" s="12">
        <v>270</v>
      </c>
      <c r="K116" s="12">
        <f t="shared" si="23"/>
        <v>90</v>
      </c>
      <c r="L116" s="12">
        <f t="shared" si="24"/>
        <v>0</v>
      </c>
      <c r="M116" s="11" t="s">
        <v>141</v>
      </c>
    </row>
    <row r="117" spans="2:13" ht="27" customHeight="1">
      <c r="B117" s="30"/>
      <c r="C117" s="10" t="s">
        <v>23</v>
      </c>
      <c r="D117" s="11" t="s">
        <v>142</v>
      </c>
      <c r="E117" s="12">
        <v>870</v>
      </c>
      <c r="F117" s="12"/>
      <c r="G117" s="12">
        <f t="shared" si="20"/>
        <v>0</v>
      </c>
      <c r="H117" s="12">
        <f t="shared" si="21"/>
        <v>0</v>
      </c>
      <c r="I117" s="12">
        <f t="shared" si="22"/>
        <v>0</v>
      </c>
      <c r="J117" s="12">
        <v>650</v>
      </c>
      <c r="K117" s="12">
        <f t="shared" si="23"/>
        <v>220</v>
      </c>
      <c r="L117" s="12">
        <f t="shared" si="24"/>
        <v>0</v>
      </c>
      <c r="M117" s="11"/>
    </row>
    <row r="118" spans="2:13" ht="27" customHeight="1">
      <c r="B118" s="30"/>
      <c r="C118" s="10" t="s">
        <v>23</v>
      </c>
      <c r="D118" s="11" t="s">
        <v>143</v>
      </c>
      <c r="E118" s="12">
        <v>770</v>
      </c>
      <c r="F118" s="12"/>
      <c r="G118" s="12">
        <f t="shared" si="20"/>
        <v>0</v>
      </c>
      <c r="H118" s="12">
        <f t="shared" si="21"/>
        <v>0</v>
      </c>
      <c r="I118" s="12">
        <f t="shared" si="22"/>
        <v>0</v>
      </c>
      <c r="J118" s="12">
        <v>650</v>
      </c>
      <c r="K118" s="12">
        <f t="shared" si="23"/>
        <v>120</v>
      </c>
      <c r="L118" s="12">
        <f t="shared" si="24"/>
        <v>0</v>
      </c>
      <c r="M118" s="11"/>
    </row>
    <row r="119" spans="2:13" ht="27" customHeight="1">
      <c r="B119" s="30"/>
      <c r="C119" s="10" t="s">
        <v>45</v>
      </c>
      <c r="D119" s="11" t="s">
        <v>144</v>
      </c>
      <c r="E119" s="12">
        <v>370</v>
      </c>
      <c r="F119" s="12"/>
      <c r="G119" s="12">
        <f t="shared" si="20"/>
        <v>0</v>
      </c>
      <c r="H119" s="12">
        <f t="shared" si="21"/>
        <v>0</v>
      </c>
      <c r="I119" s="12">
        <f t="shared" si="22"/>
        <v>0</v>
      </c>
      <c r="J119" s="12">
        <v>370</v>
      </c>
      <c r="K119" s="12">
        <f t="shared" si="23"/>
        <v>0</v>
      </c>
      <c r="L119" s="12">
        <f t="shared" si="24"/>
        <v>0</v>
      </c>
      <c r="M119" s="11"/>
    </row>
    <row r="120" spans="2:13" ht="24.6" customHeight="1">
      <c r="B120" s="30"/>
      <c r="C120" s="10" t="s">
        <v>23</v>
      </c>
      <c r="D120" s="11" t="s">
        <v>145</v>
      </c>
      <c r="E120" s="12">
        <v>500</v>
      </c>
      <c r="F120" s="12"/>
      <c r="G120" s="12">
        <f t="shared" si="20"/>
        <v>0</v>
      </c>
      <c r="H120" s="12">
        <f t="shared" si="21"/>
        <v>0</v>
      </c>
      <c r="I120" s="12">
        <f t="shared" si="22"/>
        <v>0</v>
      </c>
      <c r="J120" s="12">
        <v>389</v>
      </c>
      <c r="K120" s="12">
        <f t="shared" si="23"/>
        <v>111</v>
      </c>
      <c r="L120" s="12">
        <f t="shared" si="24"/>
        <v>0</v>
      </c>
      <c r="M120" s="11"/>
    </row>
    <row r="121" spans="2:13" ht="27" customHeight="1">
      <c r="B121" s="30"/>
      <c r="C121" s="10" t="s">
        <v>23</v>
      </c>
      <c r="D121" s="11" t="s">
        <v>146</v>
      </c>
      <c r="E121" s="12">
        <v>350</v>
      </c>
      <c r="F121" s="12"/>
      <c r="G121" s="12">
        <f t="shared" si="20"/>
        <v>0</v>
      </c>
      <c r="H121" s="12">
        <f t="shared" si="21"/>
        <v>0</v>
      </c>
      <c r="I121" s="12">
        <f t="shared" si="22"/>
        <v>0</v>
      </c>
      <c r="J121" s="12">
        <v>300</v>
      </c>
      <c r="K121" s="12">
        <f t="shared" si="23"/>
        <v>50</v>
      </c>
      <c r="L121" s="12">
        <f t="shared" si="24"/>
        <v>0</v>
      </c>
      <c r="M121" s="11" t="s">
        <v>147</v>
      </c>
    </row>
    <row r="122" spans="2:13" ht="27" customHeight="1">
      <c r="B122" s="30"/>
      <c r="C122" s="10" t="s">
        <v>23</v>
      </c>
      <c r="D122" s="11" t="s">
        <v>148</v>
      </c>
      <c r="E122" s="12">
        <v>370</v>
      </c>
      <c r="F122" s="12">
        <v>10000</v>
      </c>
      <c r="G122" s="12">
        <f t="shared" si="20"/>
        <v>3700000</v>
      </c>
      <c r="H122" s="12">
        <f t="shared" si="21"/>
        <v>370000</v>
      </c>
      <c r="I122" s="12">
        <f t="shared" si="22"/>
        <v>4070000</v>
      </c>
      <c r="J122" s="37">
        <v>280</v>
      </c>
      <c r="K122" s="12">
        <f t="shared" si="23"/>
        <v>90</v>
      </c>
      <c r="L122" s="12">
        <f t="shared" si="24"/>
        <v>900000</v>
      </c>
      <c r="M122" s="11"/>
    </row>
    <row r="123" spans="2:13" ht="27" customHeight="1">
      <c r="B123" s="30"/>
      <c r="C123" s="10" t="s">
        <v>23</v>
      </c>
      <c r="D123" s="11" t="s">
        <v>149</v>
      </c>
      <c r="E123" s="12">
        <v>360</v>
      </c>
      <c r="F123" s="12"/>
      <c r="G123" s="12">
        <f t="shared" si="20"/>
        <v>0</v>
      </c>
      <c r="H123" s="12">
        <f t="shared" si="21"/>
        <v>0</v>
      </c>
      <c r="I123" s="12">
        <f t="shared" si="22"/>
        <v>0</v>
      </c>
      <c r="J123" s="12">
        <v>300</v>
      </c>
      <c r="K123" s="12">
        <f t="shared" si="23"/>
        <v>60</v>
      </c>
      <c r="L123" s="12">
        <f t="shared" si="24"/>
        <v>0</v>
      </c>
      <c r="M123" s="50"/>
    </row>
    <row r="124" spans="2:13" ht="27" customHeight="1">
      <c r="B124" s="30"/>
      <c r="C124" s="10" t="s">
        <v>45</v>
      </c>
      <c r="D124" s="11" t="s">
        <v>150</v>
      </c>
      <c r="E124" s="37"/>
      <c r="F124" s="12"/>
      <c r="G124" s="12">
        <f t="shared" si="20"/>
        <v>0</v>
      </c>
      <c r="H124" s="12">
        <f t="shared" si="21"/>
        <v>0</v>
      </c>
      <c r="I124" s="12">
        <f t="shared" si="22"/>
        <v>0</v>
      </c>
      <c r="J124" s="12">
        <v>1030</v>
      </c>
      <c r="K124" s="12">
        <f t="shared" si="23"/>
        <v>-1030</v>
      </c>
      <c r="L124" s="12">
        <f t="shared" si="24"/>
        <v>0</v>
      </c>
      <c r="M124" s="11"/>
    </row>
    <row r="125" spans="2:13" ht="27" customHeight="1">
      <c r="B125" s="30"/>
      <c r="C125" s="10" t="s">
        <v>99</v>
      </c>
      <c r="D125" s="11" t="s">
        <v>151</v>
      </c>
      <c r="E125" s="12">
        <v>1</v>
      </c>
      <c r="F125" s="12"/>
      <c r="G125" s="12">
        <f t="shared" si="20"/>
        <v>0</v>
      </c>
      <c r="H125" s="12">
        <f t="shared" si="21"/>
        <v>0</v>
      </c>
      <c r="I125" s="12">
        <f t="shared" si="22"/>
        <v>0</v>
      </c>
      <c r="J125" s="12">
        <v>1</v>
      </c>
      <c r="K125" s="12">
        <f t="shared" si="23"/>
        <v>0</v>
      </c>
      <c r="L125" s="12">
        <f t="shared" si="24"/>
        <v>0</v>
      </c>
      <c r="M125" s="50" t="s">
        <v>152</v>
      </c>
    </row>
    <row r="126" spans="2:13" ht="27" customHeight="1">
      <c r="B126" s="38"/>
      <c r="C126" s="18"/>
      <c r="D126" s="26" t="s">
        <v>27</v>
      </c>
      <c r="E126" s="21"/>
      <c r="F126" s="21"/>
      <c r="G126" s="21">
        <f>SUM(G96:G125)</f>
        <v>9344800</v>
      </c>
      <c r="H126" s="21">
        <f t="shared" si="21"/>
        <v>934480</v>
      </c>
      <c r="I126" s="21">
        <f t="shared" si="22"/>
        <v>10279280</v>
      </c>
      <c r="J126" s="21"/>
      <c r="K126" s="21"/>
      <c r="L126" s="21">
        <f>SUM(L96:L125)</f>
        <v>2008800</v>
      </c>
      <c r="M126" s="22">
        <f>L126/G126</f>
        <v>0.21496447221984419</v>
      </c>
    </row>
    <row r="127" spans="2:13" ht="27" customHeight="1">
      <c r="B127" s="9" t="s">
        <v>153</v>
      </c>
      <c r="C127" s="10" t="s">
        <v>23</v>
      </c>
      <c r="D127" s="11" t="s">
        <v>154</v>
      </c>
      <c r="E127" s="12">
        <v>230</v>
      </c>
      <c r="F127" s="12"/>
      <c r="G127" s="12">
        <f>E127*F127</f>
        <v>0</v>
      </c>
      <c r="H127" s="12">
        <f t="shared" si="21"/>
        <v>0</v>
      </c>
      <c r="I127" s="12">
        <f t="shared" si="22"/>
        <v>0</v>
      </c>
      <c r="J127" s="12">
        <v>150</v>
      </c>
      <c r="K127" s="12">
        <f>E127-J127</f>
        <v>80</v>
      </c>
      <c r="L127" s="12">
        <f>F127*K127</f>
        <v>0</v>
      </c>
      <c r="M127" s="11" t="s">
        <v>155</v>
      </c>
    </row>
    <row r="128" spans="2:13" ht="27" customHeight="1">
      <c r="B128" s="17"/>
      <c r="C128" s="18"/>
      <c r="D128" s="26" t="s">
        <v>156</v>
      </c>
      <c r="E128" s="21"/>
      <c r="F128" s="21"/>
      <c r="G128" s="21">
        <f>SUM(G127)</f>
        <v>0</v>
      </c>
      <c r="H128" s="21">
        <f>SUM(H127)</f>
        <v>0</v>
      </c>
      <c r="I128" s="21">
        <f>SUM(I127)</f>
        <v>0</v>
      </c>
      <c r="J128" s="21"/>
      <c r="K128" s="21"/>
      <c r="L128" s="21">
        <f>SUM(L127)</f>
        <v>0</v>
      </c>
      <c r="M128" s="26"/>
    </row>
    <row r="129" spans="2:13" ht="27" customHeight="1">
      <c r="B129" s="9" t="s">
        <v>157</v>
      </c>
      <c r="C129" s="10" t="s">
        <v>17</v>
      </c>
      <c r="D129" s="11" t="s">
        <v>158</v>
      </c>
      <c r="E129" s="12">
        <v>9000</v>
      </c>
      <c r="F129" s="23"/>
      <c r="G129" s="23">
        <f>E129*F129</f>
        <v>0</v>
      </c>
      <c r="H129" s="12">
        <f>G129/10</f>
        <v>0</v>
      </c>
      <c r="I129" s="12">
        <f>G129+H129</f>
        <v>0</v>
      </c>
      <c r="J129" s="23">
        <v>6400</v>
      </c>
      <c r="K129" s="23">
        <f>E129-J129</f>
        <v>2600</v>
      </c>
      <c r="L129" s="23">
        <f>F129*K129</f>
        <v>0</v>
      </c>
      <c r="M129" s="11"/>
    </row>
    <row r="130" spans="2:13" ht="27" customHeight="1">
      <c r="B130" s="17"/>
      <c r="C130" s="18"/>
      <c r="D130" s="26" t="s">
        <v>27</v>
      </c>
      <c r="E130" s="21"/>
      <c r="F130" s="21"/>
      <c r="G130" s="21">
        <f>SUM(G129)</f>
        <v>0</v>
      </c>
      <c r="H130" s="21">
        <f>SUM(H129)</f>
        <v>0</v>
      </c>
      <c r="I130" s="21">
        <f>SUM(I129)</f>
        <v>0</v>
      </c>
      <c r="J130" s="21"/>
      <c r="K130" s="21"/>
      <c r="L130" s="21">
        <f>SUM(L129)</f>
        <v>0</v>
      </c>
      <c r="M130" s="26"/>
    </row>
    <row r="131" spans="2:13" ht="27" customHeight="1">
      <c r="B131" s="9" t="s">
        <v>159</v>
      </c>
      <c r="C131" s="10" t="s">
        <v>23</v>
      </c>
      <c r="D131" s="11" t="s">
        <v>160</v>
      </c>
      <c r="E131" s="12">
        <v>370</v>
      </c>
      <c r="F131" s="12"/>
      <c r="G131" s="12">
        <f t="shared" ref="G131:G159" si="25">E131*F131</f>
        <v>0</v>
      </c>
      <c r="H131" s="12">
        <f t="shared" ref="H131:H159" si="26">G131/10</f>
        <v>0</v>
      </c>
      <c r="I131" s="12">
        <f t="shared" ref="I131:I159" si="27">G131+H131</f>
        <v>0</v>
      </c>
      <c r="J131" s="12">
        <v>320</v>
      </c>
      <c r="K131" s="12">
        <f t="shared" ref="K131:K159" si="28">E131-J131</f>
        <v>50</v>
      </c>
      <c r="L131" s="12">
        <f t="shared" ref="L131:L159" si="29">F131*K131</f>
        <v>0</v>
      </c>
      <c r="M131" s="11" t="s">
        <v>161</v>
      </c>
    </row>
    <row r="132" spans="2:13" ht="27" customHeight="1">
      <c r="B132" s="13"/>
      <c r="C132" s="10" t="s">
        <v>23</v>
      </c>
      <c r="D132" s="11" t="s">
        <v>162</v>
      </c>
      <c r="E132" s="12">
        <v>430</v>
      </c>
      <c r="F132" s="12"/>
      <c r="G132" s="12">
        <f t="shared" si="25"/>
        <v>0</v>
      </c>
      <c r="H132" s="12">
        <f t="shared" si="26"/>
        <v>0</v>
      </c>
      <c r="I132" s="12">
        <f t="shared" si="27"/>
        <v>0</v>
      </c>
      <c r="J132" s="12">
        <v>380</v>
      </c>
      <c r="K132" s="12">
        <f t="shared" si="28"/>
        <v>50</v>
      </c>
      <c r="L132" s="12">
        <f t="shared" si="29"/>
        <v>0</v>
      </c>
      <c r="M132" s="11"/>
    </row>
    <row r="133" spans="2:13" ht="27" customHeight="1">
      <c r="B133" s="13"/>
      <c r="C133" s="10" t="s">
        <v>23</v>
      </c>
      <c r="D133" s="11" t="s">
        <v>163</v>
      </c>
      <c r="E133" s="12">
        <v>320</v>
      </c>
      <c r="F133" s="12"/>
      <c r="G133" s="12">
        <f t="shared" si="25"/>
        <v>0</v>
      </c>
      <c r="H133" s="12">
        <f t="shared" si="26"/>
        <v>0</v>
      </c>
      <c r="I133" s="12">
        <f t="shared" si="27"/>
        <v>0</v>
      </c>
      <c r="J133" s="37">
        <v>280</v>
      </c>
      <c r="K133" s="12">
        <f t="shared" si="28"/>
        <v>40</v>
      </c>
      <c r="L133" s="12">
        <f t="shared" si="29"/>
        <v>0</v>
      </c>
      <c r="M133" s="11"/>
    </row>
    <row r="134" spans="2:13" ht="27" customHeight="1">
      <c r="B134" s="13"/>
      <c r="C134" s="10" t="s">
        <v>99</v>
      </c>
      <c r="D134" s="11" t="s">
        <v>164</v>
      </c>
      <c r="E134" s="12">
        <v>300000</v>
      </c>
      <c r="F134" s="23"/>
      <c r="G134" s="23">
        <f t="shared" si="25"/>
        <v>0</v>
      </c>
      <c r="H134" s="12">
        <f t="shared" si="26"/>
        <v>0</v>
      </c>
      <c r="I134" s="12">
        <f t="shared" si="27"/>
        <v>0</v>
      </c>
      <c r="J134" s="12"/>
      <c r="K134" s="23">
        <f t="shared" si="28"/>
        <v>300000</v>
      </c>
      <c r="L134" s="23">
        <f t="shared" si="29"/>
        <v>0</v>
      </c>
      <c r="M134" s="11"/>
    </row>
    <row r="135" spans="2:13" ht="27" customHeight="1">
      <c r="B135" s="13"/>
      <c r="C135" s="10" t="s">
        <v>23</v>
      </c>
      <c r="D135" s="11" t="s">
        <v>165</v>
      </c>
      <c r="E135" s="12">
        <v>370</v>
      </c>
      <c r="F135" s="12"/>
      <c r="G135" s="12">
        <f t="shared" si="25"/>
        <v>0</v>
      </c>
      <c r="H135" s="12">
        <f t="shared" si="26"/>
        <v>0</v>
      </c>
      <c r="I135" s="12">
        <f t="shared" si="27"/>
        <v>0</v>
      </c>
      <c r="J135" s="12">
        <v>320</v>
      </c>
      <c r="K135" s="12">
        <f t="shared" si="28"/>
        <v>50</v>
      </c>
      <c r="L135" s="12">
        <f t="shared" si="29"/>
        <v>0</v>
      </c>
      <c r="M135" s="11"/>
    </row>
    <row r="136" spans="2:13" ht="27" customHeight="1">
      <c r="B136" s="13"/>
      <c r="C136" s="10" t="s">
        <v>99</v>
      </c>
      <c r="D136" s="11" t="s">
        <v>166</v>
      </c>
      <c r="E136" s="12">
        <v>350000</v>
      </c>
      <c r="F136" s="23"/>
      <c r="G136" s="23">
        <f t="shared" si="25"/>
        <v>0</v>
      </c>
      <c r="H136" s="12">
        <f t="shared" si="26"/>
        <v>0</v>
      </c>
      <c r="I136" s="12">
        <f t="shared" si="27"/>
        <v>0</v>
      </c>
      <c r="J136" s="12"/>
      <c r="K136" s="23">
        <f t="shared" si="28"/>
        <v>350000</v>
      </c>
      <c r="L136" s="23">
        <f t="shared" si="29"/>
        <v>0</v>
      </c>
      <c r="M136" s="11"/>
    </row>
    <row r="137" spans="2:13" ht="27" customHeight="1">
      <c r="B137" s="13"/>
      <c r="C137" s="10" t="s">
        <v>23</v>
      </c>
      <c r="D137" s="11" t="s">
        <v>167</v>
      </c>
      <c r="E137" s="12">
        <v>370</v>
      </c>
      <c r="F137" s="23"/>
      <c r="G137" s="23">
        <f t="shared" si="25"/>
        <v>0</v>
      </c>
      <c r="H137" s="12">
        <f t="shared" si="26"/>
        <v>0</v>
      </c>
      <c r="I137" s="12">
        <f t="shared" si="27"/>
        <v>0</v>
      </c>
      <c r="J137" s="12">
        <v>320</v>
      </c>
      <c r="K137" s="23">
        <f t="shared" si="28"/>
        <v>50</v>
      </c>
      <c r="L137" s="23">
        <f t="shared" si="29"/>
        <v>0</v>
      </c>
      <c r="M137" s="11"/>
    </row>
    <row r="138" spans="2:13" ht="27" customHeight="1">
      <c r="B138" s="13"/>
      <c r="C138" s="10" t="s">
        <v>99</v>
      </c>
      <c r="D138" s="11" t="s">
        <v>168</v>
      </c>
      <c r="E138" s="12">
        <v>150000</v>
      </c>
      <c r="F138" s="23"/>
      <c r="G138" s="23">
        <f t="shared" si="25"/>
        <v>0</v>
      </c>
      <c r="H138" s="12">
        <f t="shared" si="26"/>
        <v>0</v>
      </c>
      <c r="I138" s="12">
        <f t="shared" si="27"/>
        <v>0</v>
      </c>
      <c r="J138" s="12"/>
      <c r="K138" s="23">
        <f t="shared" si="28"/>
        <v>150000</v>
      </c>
      <c r="L138" s="23">
        <f t="shared" si="29"/>
        <v>0</v>
      </c>
      <c r="M138" s="11"/>
    </row>
    <row r="139" spans="2:13" ht="27" customHeight="1">
      <c r="B139" s="13"/>
      <c r="C139" s="10" t="s">
        <v>23</v>
      </c>
      <c r="D139" s="11" t="s">
        <v>169</v>
      </c>
      <c r="E139" s="12">
        <v>310</v>
      </c>
      <c r="F139" s="23"/>
      <c r="G139" s="23">
        <f t="shared" si="25"/>
        <v>0</v>
      </c>
      <c r="H139" s="12">
        <f t="shared" si="26"/>
        <v>0</v>
      </c>
      <c r="I139" s="12">
        <f t="shared" si="27"/>
        <v>0</v>
      </c>
      <c r="J139" s="23">
        <v>270</v>
      </c>
      <c r="K139" s="23">
        <f t="shared" si="28"/>
        <v>40</v>
      </c>
      <c r="L139" s="23">
        <f t="shared" si="29"/>
        <v>0</v>
      </c>
      <c r="M139" s="11"/>
    </row>
    <row r="140" spans="2:13" ht="27" customHeight="1">
      <c r="B140" s="13"/>
      <c r="C140" s="10" t="s">
        <v>23</v>
      </c>
      <c r="D140" s="11" t="s">
        <v>170</v>
      </c>
      <c r="E140" s="12">
        <v>280</v>
      </c>
      <c r="F140" s="23"/>
      <c r="G140" s="23">
        <f t="shared" si="25"/>
        <v>0</v>
      </c>
      <c r="H140" s="12">
        <f t="shared" si="26"/>
        <v>0</v>
      </c>
      <c r="I140" s="12">
        <f t="shared" si="27"/>
        <v>0</v>
      </c>
      <c r="J140" s="23">
        <v>240</v>
      </c>
      <c r="K140" s="23">
        <f t="shared" si="28"/>
        <v>40</v>
      </c>
      <c r="L140" s="23">
        <f t="shared" si="29"/>
        <v>0</v>
      </c>
      <c r="M140" s="11"/>
    </row>
    <row r="141" spans="2:13" ht="27" customHeight="1">
      <c r="B141" s="13"/>
      <c r="C141" s="10" t="s">
        <v>23</v>
      </c>
      <c r="D141" s="11" t="s">
        <v>171</v>
      </c>
      <c r="E141" s="12">
        <v>170</v>
      </c>
      <c r="F141" s="23"/>
      <c r="G141" s="23">
        <f t="shared" si="25"/>
        <v>0</v>
      </c>
      <c r="H141" s="12">
        <f t="shared" si="26"/>
        <v>0</v>
      </c>
      <c r="I141" s="12">
        <f t="shared" si="27"/>
        <v>0</v>
      </c>
      <c r="J141" s="23">
        <v>160</v>
      </c>
      <c r="K141" s="23">
        <f t="shared" si="28"/>
        <v>10</v>
      </c>
      <c r="L141" s="23">
        <f t="shared" si="29"/>
        <v>0</v>
      </c>
      <c r="M141" s="11"/>
    </row>
    <row r="142" spans="2:13" ht="27" customHeight="1">
      <c r="B142" s="13"/>
      <c r="C142" s="10" t="s">
        <v>23</v>
      </c>
      <c r="D142" s="11" t="s">
        <v>172</v>
      </c>
      <c r="E142" s="12">
        <v>400</v>
      </c>
      <c r="F142" s="23"/>
      <c r="G142" s="23">
        <f t="shared" si="25"/>
        <v>0</v>
      </c>
      <c r="H142" s="12">
        <f t="shared" si="26"/>
        <v>0</v>
      </c>
      <c r="I142" s="12">
        <f t="shared" si="27"/>
        <v>0</v>
      </c>
      <c r="J142" s="12">
        <v>340</v>
      </c>
      <c r="K142" s="23">
        <f t="shared" si="28"/>
        <v>60</v>
      </c>
      <c r="L142" s="23">
        <f t="shared" si="29"/>
        <v>0</v>
      </c>
      <c r="M142" s="11"/>
    </row>
    <row r="143" spans="2:13" ht="27" customHeight="1">
      <c r="B143" s="13"/>
      <c r="C143" s="10" t="s">
        <v>23</v>
      </c>
      <c r="D143" s="11" t="s">
        <v>173</v>
      </c>
      <c r="E143" s="12">
        <v>340</v>
      </c>
      <c r="F143" s="12"/>
      <c r="G143" s="12">
        <f t="shared" si="25"/>
        <v>0</v>
      </c>
      <c r="H143" s="12">
        <f t="shared" si="26"/>
        <v>0</v>
      </c>
      <c r="I143" s="12">
        <f t="shared" si="27"/>
        <v>0</v>
      </c>
      <c r="J143" s="12">
        <v>250</v>
      </c>
      <c r="K143" s="12">
        <f t="shared" si="28"/>
        <v>90</v>
      </c>
      <c r="L143" s="12">
        <f t="shared" si="29"/>
        <v>0</v>
      </c>
      <c r="M143" s="11"/>
    </row>
    <row r="144" spans="2:13" ht="27" customHeight="1">
      <c r="B144" s="13"/>
      <c r="C144" s="10" t="s">
        <v>23</v>
      </c>
      <c r="D144" s="11" t="s">
        <v>174</v>
      </c>
      <c r="E144" s="12">
        <v>360</v>
      </c>
      <c r="F144" s="12"/>
      <c r="G144" s="12">
        <f t="shared" si="25"/>
        <v>0</v>
      </c>
      <c r="H144" s="12">
        <f t="shared" si="26"/>
        <v>0</v>
      </c>
      <c r="I144" s="12">
        <f t="shared" si="27"/>
        <v>0</v>
      </c>
      <c r="J144" s="12">
        <v>320</v>
      </c>
      <c r="K144" s="12">
        <f t="shared" si="28"/>
        <v>40</v>
      </c>
      <c r="L144" s="12">
        <f t="shared" si="29"/>
        <v>0</v>
      </c>
      <c r="M144" s="11"/>
    </row>
    <row r="145" spans="2:13" ht="27" customHeight="1">
      <c r="B145" s="13"/>
      <c r="C145" s="10" t="s">
        <v>23</v>
      </c>
      <c r="D145" s="11" t="s">
        <v>175</v>
      </c>
      <c r="E145" s="12">
        <v>340</v>
      </c>
      <c r="F145" s="12"/>
      <c r="G145" s="12">
        <f t="shared" si="25"/>
        <v>0</v>
      </c>
      <c r="H145" s="12">
        <f t="shared" si="26"/>
        <v>0</v>
      </c>
      <c r="I145" s="12">
        <f t="shared" si="27"/>
        <v>0</v>
      </c>
      <c r="J145" s="12">
        <v>270</v>
      </c>
      <c r="K145" s="12">
        <f t="shared" si="28"/>
        <v>70</v>
      </c>
      <c r="L145" s="12">
        <f t="shared" si="29"/>
        <v>0</v>
      </c>
      <c r="M145" s="11" t="s">
        <v>176</v>
      </c>
    </row>
    <row r="146" spans="2:13" ht="27" customHeight="1">
      <c r="B146" s="13"/>
      <c r="C146" s="10" t="s">
        <v>23</v>
      </c>
      <c r="D146" s="11" t="s">
        <v>177</v>
      </c>
      <c r="E146" s="12">
        <v>320</v>
      </c>
      <c r="F146" s="12"/>
      <c r="G146" s="12">
        <f t="shared" si="25"/>
        <v>0</v>
      </c>
      <c r="H146" s="12">
        <f t="shared" si="26"/>
        <v>0</v>
      </c>
      <c r="I146" s="12">
        <f t="shared" si="27"/>
        <v>0</v>
      </c>
      <c r="J146" s="12">
        <v>250</v>
      </c>
      <c r="K146" s="12">
        <f t="shared" si="28"/>
        <v>70</v>
      </c>
      <c r="L146" s="12">
        <f t="shared" si="29"/>
        <v>0</v>
      </c>
      <c r="M146" s="11"/>
    </row>
    <row r="147" spans="2:13" ht="27" customHeight="1">
      <c r="B147" s="13"/>
      <c r="C147" s="10" t="s">
        <v>23</v>
      </c>
      <c r="D147" s="11" t="s">
        <v>178</v>
      </c>
      <c r="E147" s="12">
        <v>450</v>
      </c>
      <c r="F147" s="12">
        <v>5000</v>
      </c>
      <c r="G147" s="12">
        <f t="shared" si="25"/>
        <v>2250000</v>
      </c>
      <c r="H147" s="12">
        <f t="shared" si="26"/>
        <v>225000</v>
      </c>
      <c r="I147" s="12">
        <f t="shared" si="27"/>
        <v>2475000</v>
      </c>
      <c r="J147" s="37">
        <v>340</v>
      </c>
      <c r="K147" s="12">
        <f t="shared" si="28"/>
        <v>110</v>
      </c>
      <c r="L147" s="12">
        <f t="shared" si="29"/>
        <v>550000</v>
      </c>
      <c r="M147" s="11"/>
    </row>
    <row r="148" spans="2:13" ht="27" customHeight="1">
      <c r="B148" s="13"/>
      <c r="C148" s="10" t="s">
        <v>23</v>
      </c>
      <c r="D148" s="11" t="s">
        <v>179</v>
      </c>
      <c r="E148" s="12">
        <v>400</v>
      </c>
      <c r="F148" s="12"/>
      <c r="G148" s="12">
        <f t="shared" si="25"/>
        <v>0</v>
      </c>
      <c r="H148" s="12">
        <f t="shared" si="26"/>
        <v>0</v>
      </c>
      <c r="I148" s="12">
        <f t="shared" si="27"/>
        <v>0</v>
      </c>
      <c r="J148" s="12">
        <v>340</v>
      </c>
      <c r="K148" s="12">
        <f t="shared" si="28"/>
        <v>60</v>
      </c>
      <c r="L148" s="12">
        <f t="shared" si="29"/>
        <v>0</v>
      </c>
      <c r="M148" s="11"/>
    </row>
    <row r="149" spans="2:13" ht="27" customHeight="1">
      <c r="B149" s="13"/>
      <c r="C149" s="10" t="s">
        <v>23</v>
      </c>
      <c r="D149" s="11" t="s">
        <v>180</v>
      </c>
      <c r="E149" s="12">
        <v>340</v>
      </c>
      <c r="F149" s="12"/>
      <c r="G149" s="12">
        <f t="shared" si="25"/>
        <v>0</v>
      </c>
      <c r="H149" s="12">
        <f t="shared" si="26"/>
        <v>0</v>
      </c>
      <c r="I149" s="12">
        <f t="shared" si="27"/>
        <v>0</v>
      </c>
      <c r="J149" s="12"/>
      <c r="K149" s="12">
        <f t="shared" si="28"/>
        <v>340</v>
      </c>
      <c r="L149" s="12">
        <f t="shared" si="29"/>
        <v>0</v>
      </c>
      <c r="M149" s="11"/>
    </row>
    <row r="150" spans="2:13" ht="27" customHeight="1">
      <c r="B150" s="13"/>
      <c r="C150" s="10" t="s">
        <v>23</v>
      </c>
      <c r="D150" s="11" t="s">
        <v>181</v>
      </c>
      <c r="E150" s="12">
        <v>370</v>
      </c>
      <c r="F150" s="12"/>
      <c r="G150" s="12">
        <f t="shared" si="25"/>
        <v>0</v>
      </c>
      <c r="H150" s="12">
        <f t="shared" si="26"/>
        <v>0</v>
      </c>
      <c r="I150" s="12">
        <f t="shared" si="27"/>
        <v>0</v>
      </c>
      <c r="J150" s="12">
        <v>310</v>
      </c>
      <c r="K150" s="12">
        <f t="shared" si="28"/>
        <v>60</v>
      </c>
      <c r="L150" s="12">
        <f t="shared" si="29"/>
        <v>0</v>
      </c>
      <c r="M150" s="11"/>
    </row>
    <row r="151" spans="2:13" ht="27" customHeight="1">
      <c r="B151" s="13"/>
      <c r="C151" s="10" t="s">
        <v>23</v>
      </c>
      <c r="D151" s="11" t="s">
        <v>182</v>
      </c>
      <c r="E151" s="12">
        <v>320</v>
      </c>
      <c r="F151" s="12"/>
      <c r="G151" s="12">
        <f t="shared" si="25"/>
        <v>0</v>
      </c>
      <c r="H151" s="12">
        <f t="shared" si="26"/>
        <v>0</v>
      </c>
      <c r="I151" s="12">
        <f t="shared" si="27"/>
        <v>0</v>
      </c>
      <c r="J151" s="12">
        <v>300</v>
      </c>
      <c r="K151" s="12">
        <f t="shared" si="28"/>
        <v>20</v>
      </c>
      <c r="L151" s="12">
        <f t="shared" si="29"/>
        <v>0</v>
      </c>
      <c r="M151" s="11"/>
    </row>
    <row r="152" spans="2:13" ht="27" customHeight="1">
      <c r="B152" s="13"/>
      <c r="C152" s="10" t="s">
        <v>23</v>
      </c>
      <c r="D152" s="11" t="s">
        <v>183</v>
      </c>
      <c r="E152" s="12">
        <v>350</v>
      </c>
      <c r="F152" s="12"/>
      <c r="G152" s="12">
        <f t="shared" si="25"/>
        <v>0</v>
      </c>
      <c r="H152" s="12">
        <f t="shared" si="26"/>
        <v>0</v>
      </c>
      <c r="I152" s="12">
        <f t="shared" si="27"/>
        <v>0</v>
      </c>
      <c r="J152" s="12">
        <v>270</v>
      </c>
      <c r="K152" s="12">
        <f t="shared" si="28"/>
        <v>80</v>
      </c>
      <c r="L152" s="12">
        <f t="shared" si="29"/>
        <v>0</v>
      </c>
      <c r="M152" s="11"/>
    </row>
    <row r="153" spans="2:13" ht="27" customHeight="1">
      <c r="B153" s="13"/>
      <c r="C153" s="10" t="s">
        <v>23</v>
      </c>
      <c r="D153" s="11" t="s">
        <v>184</v>
      </c>
      <c r="E153" s="12">
        <v>380</v>
      </c>
      <c r="F153" s="12"/>
      <c r="G153" s="12">
        <f t="shared" si="25"/>
        <v>0</v>
      </c>
      <c r="H153" s="12">
        <f t="shared" si="26"/>
        <v>0</v>
      </c>
      <c r="I153" s="12">
        <f t="shared" si="27"/>
        <v>0</v>
      </c>
      <c r="J153" s="12">
        <v>330</v>
      </c>
      <c r="K153" s="12">
        <f t="shared" si="28"/>
        <v>50</v>
      </c>
      <c r="L153" s="12">
        <f t="shared" si="29"/>
        <v>0</v>
      </c>
      <c r="M153" s="11"/>
    </row>
    <row r="154" spans="2:13" ht="27" customHeight="1">
      <c r="B154" s="13"/>
      <c r="C154" s="10" t="s">
        <v>23</v>
      </c>
      <c r="D154" s="11" t="s">
        <v>185</v>
      </c>
      <c r="E154" s="12">
        <v>380</v>
      </c>
      <c r="F154" s="12"/>
      <c r="G154" s="12">
        <f t="shared" si="25"/>
        <v>0</v>
      </c>
      <c r="H154" s="12">
        <f t="shared" si="26"/>
        <v>0</v>
      </c>
      <c r="I154" s="12">
        <f t="shared" si="27"/>
        <v>0</v>
      </c>
      <c r="J154" s="12">
        <v>310</v>
      </c>
      <c r="K154" s="12">
        <f t="shared" si="28"/>
        <v>70</v>
      </c>
      <c r="L154" s="12">
        <f t="shared" si="29"/>
        <v>0</v>
      </c>
      <c r="M154" s="11"/>
    </row>
    <row r="155" spans="2:13" ht="27" customHeight="1">
      <c r="B155" s="13"/>
      <c r="C155" s="10" t="s">
        <v>23</v>
      </c>
      <c r="D155" s="11" t="s">
        <v>186</v>
      </c>
      <c r="E155" s="12">
        <v>340</v>
      </c>
      <c r="F155" s="12"/>
      <c r="G155" s="12">
        <f t="shared" si="25"/>
        <v>0</v>
      </c>
      <c r="H155" s="12">
        <f t="shared" si="26"/>
        <v>0</v>
      </c>
      <c r="I155" s="12">
        <f t="shared" si="27"/>
        <v>0</v>
      </c>
      <c r="J155" s="12">
        <v>310</v>
      </c>
      <c r="K155" s="12">
        <f t="shared" si="28"/>
        <v>30</v>
      </c>
      <c r="L155" s="12">
        <f t="shared" si="29"/>
        <v>0</v>
      </c>
      <c r="M155" s="11"/>
    </row>
    <row r="156" spans="2:13" ht="27" customHeight="1">
      <c r="B156" s="13"/>
      <c r="C156" s="10" t="s">
        <v>23</v>
      </c>
      <c r="D156" s="11" t="s">
        <v>187</v>
      </c>
      <c r="E156" s="12">
        <v>340</v>
      </c>
      <c r="F156" s="12"/>
      <c r="G156" s="12">
        <f t="shared" si="25"/>
        <v>0</v>
      </c>
      <c r="H156" s="12">
        <f t="shared" si="26"/>
        <v>0</v>
      </c>
      <c r="I156" s="12">
        <f t="shared" si="27"/>
        <v>0</v>
      </c>
      <c r="J156" s="12">
        <v>300</v>
      </c>
      <c r="K156" s="12">
        <f t="shared" si="28"/>
        <v>40</v>
      </c>
      <c r="L156" s="12">
        <f t="shared" si="29"/>
        <v>0</v>
      </c>
      <c r="M156" s="11"/>
    </row>
    <row r="157" spans="2:13" ht="27" customHeight="1">
      <c r="B157" s="13"/>
      <c r="C157" s="10" t="s">
        <v>99</v>
      </c>
      <c r="D157" s="11" t="s">
        <v>188</v>
      </c>
      <c r="E157" s="12">
        <v>150000</v>
      </c>
      <c r="F157" s="12"/>
      <c r="G157" s="12">
        <f t="shared" si="25"/>
        <v>0</v>
      </c>
      <c r="H157" s="12">
        <f t="shared" si="26"/>
        <v>0</v>
      </c>
      <c r="I157" s="12">
        <f t="shared" si="27"/>
        <v>0</v>
      </c>
      <c r="J157" s="12"/>
      <c r="K157" s="12">
        <f t="shared" si="28"/>
        <v>150000</v>
      </c>
      <c r="L157" s="12">
        <f t="shared" si="29"/>
        <v>0</v>
      </c>
      <c r="M157" s="11"/>
    </row>
    <row r="158" spans="2:13" ht="27" customHeight="1">
      <c r="B158" s="13"/>
      <c r="C158" s="10" t="s">
        <v>99</v>
      </c>
      <c r="D158" s="11" t="s">
        <v>100</v>
      </c>
      <c r="E158" s="12">
        <v>10000</v>
      </c>
      <c r="F158" s="12"/>
      <c r="G158" s="12">
        <f t="shared" si="25"/>
        <v>0</v>
      </c>
      <c r="H158" s="12">
        <f t="shared" si="26"/>
        <v>0</v>
      </c>
      <c r="I158" s="12">
        <f t="shared" si="27"/>
        <v>0</v>
      </c>
      <c r="J158" s="12"/>
      <c r="K158" s="12">
        <f t="shared" si="28"/>
        <v>10000</v>
      </c>
      <c r="L158" s="12">
        <f t="shared" si="29"/>
        <v>0</v>
      </c>
      <c r="M158" s="11"/>
    </row>
    <row r="159" spans="2:13" ht="27" customHeight="1">
      <c r="B159" s="13"/>
      <c r="C159" s="10" t="s">
        <v>45</v>
      </c>
      <c r="D159" s="11" t="s">
        <v>80</v>
      </c>
      <c r="E159" s="12">
        <v>1400</v>
      </c>
      <c r="F159" s="51"/>
      <c r="G159" s="12">
        <f t="shared" si="25"/>
        <v>0</v>
      </c>
      <c r="H159" s="12">
        <f t="shared" si="26"/>
        <v>0</v>
      </c>
      <c r="I159" s="12">
        <f t="shared" si="27"/>
        <v>0</v>
      </c>
      <c r="J159" s="12">
        <v>890</v>
      </c>
      <c r="K159" s="12">
        <f t="shared" si="28"/>
        <v>510</v>
      </c>
      <c r="L159" s="12">
        <f t="shared" si="29"/>
        <v>0</v>
      </c>
      <c r="M159" s="11"/>
    </row>
    <row r="160" spans="2:13" ht="27" customHeight="1">
      <c r="B160" s="17"/>
      <c r="C160" s="18"/>
      <c r="D160" s="26" t="s">
        <v>27</v>
      </c>
      <c r="E160" s="21"/>
      <c r="F160" s="21">
        <f>SUM(F131:F159)</f>
        <v>5000</v>
      </c>
      <c r="G160" s="21">
        <f>SUM(G131:G159)</f>
        <v>2250000</v>
      </c>
      <c r="H160" s="21">
        <f>SUM(H131:H159)</f>
        <v>225000</v>
      </c>
      <c r="I160" s="21">
        <f>SUM(I131:I159)</f>
        <v>2475000</v>
      </c>
      <c r="J160" s="21"/>
      <c r="K160" s="21"/>
      <c r="L160" s="21">
        <f>SUM(L131:L159)</f>
        <v>550000</v>
      </c>
      <c r="M160" s="26"/>
    </row>
    <row r="161" spans="2:13" ht="27" customHeight="1">
      <c r="B161" s="9" t="s">
        <v>189</v>
      </c>
      <c r="C161" s="10" t="s">
        <v>23</v>
      </c>
      <c r="D161" s="11" t="s">
        <v>190</v>
      </c>
      <c r="E161" s="12">
        <v>370</v>
      </c>
      <c r="F161" s="12"/>
      <c r="G161" s="12">
        <f t="shared" ref="G161:G166" si="30">E161*F161</f>
        <v>0</v>
      </c>
      <c r="H161" s="12">
        <f t="shared" ref="H161:H166" si="31">G161/10</f>
        <v>0</v>
      </c>
      <c r="I161" s="12">
        <f t="shared" ref="I161:I166" si="32">G161+H161</f>
        <v>0</v>
      </c>
      <c r="J161" s="12">
        <v>250</v>
      </c>
      <c r="K161" s="12">
        <f t="shared" ref="K161:K166" si="33">E161-J161</f>
        <v>120</v>
      </c>
      <c r="L161" s="12">
        <f t="shared" ref="L161:L166" si="34">F161*K161</f>
        <v>0</v>
      </c>
      <c r="M161" s="11"/>
    </row>
    <row r="162" spans="2:13" ht="27" customHeight="1">
      <c r="B162" s="13"/>
      <c r="C162" s="10" t="s">
        <v>23</v>
      </c>
      <c r="D162" s="11" t="s">
        <v>191</v>
      </c>
      <c r="E162" s="12">
        <v>630</v>
      </c>
      <c r="F162" s="12"/>
      <c r="G162" s="12">
        <f t="shared" si="30"/>
        <v>0</v>
      </c>
      <c r="H162" s="12">
        <f t="shared" si="31"/>
        <v>0</v>
      </c>
      <c r="I162" s="12">
        <f t="shared" si="32"/>
        <v>0</v>
      </c>
      <c r="J162" s="12">
        <v>510</v>
      </c>
      <c r="K162" s="12">
        <f t="shared" si="33"/>
        <v>120</v>
      </c>
      <c r="L162" s="12">
        <f t="shared" si="34"/>
        <v>0</v>
      </c>
      <c r="M162" s="11" t="s">
        <v>192</v>
      </c>
    </row>
    <row r="163" spans="2:13" ht="27" customHeight="1">
      <c r="B163" s="13"/>
      <c r="C163" s="10" t="s">
        <v>45</v>
      </c>
      <c r="D163" s="11" t="s">
        <v>193</v>
      </c>
      <c r="E163" s="12">
        <v>4300</v>
      </c>
      <c r="F163" s="12"/>
      <c r="G163" s="12">
        <f t="shared" si="30"/>
        <v>0</v>
      </c>
      <c r="H163" s="12">
        <f t="shared" si="31"/>
        <v>0</v>
      </c>
      <c r="I163" s="12">
        <f t="shared" si="32"/>
        <v>0</v>
      </c>
      <c r="J163" s="12">
        <v>3500</v>
      </c>
      <c r="K163" s="12">
        <f t="shared" si="33"/>
        <v>800</v>
      </c>
      <c r="L163" s="12">
        <f t="shared" si="34"/>
        <v>0</v>
      </c>
      <c r="M163" s="11"/>
    </row>
    <row r="164" spans="2:13" ht="27" customHeight="1">
      <c r="B164" s="13"/>
      <c r="C164" s="10" t="s">
        <v>45</v>
      </c>
      <c r="D164" s="11" t="s">
        <v>194</v>
      </c>
      <c r="E164" s="12">
        <v>6000</v>
      </c>
      <c r="F164" s="12"/>
      <c r="G164" s="12">
        <f t="shared" si="30"/>
        <v>0</v>
      </c>
      <c r="H164" s="12">
        <f t="shared" si="31"/>
        <v>0</v>
      </c>
      <c r="I164" s="12">
        <f t="shared" si="32"/>
        <v>0</v>
      </c>
      <c r="J164" s="12">
        <v>5000</v>
      </c>
      <c r="K164" s="12">
        <f t="shared" si="33"/>
        <v>1000</v>
      </c>
      <c r="L164" s="12">
        <f t="shared" si="34"/>
        <v>0</v>
      </c>
      <c r="M164" s="11"/>
    </row>
    <row r="165" spans="2:13" ht="27" customHeight="1">
      <c r="B165" s="13"/>
      <c r="C165" s="10" t="s">
        <v>45</v>
      </c>
      <c r="D165" s="11" t="s">
        <v>195</v>
      </c>
      <c r="E165" s="12">
        <v>1400</v>
      </c>
      <c r="F165" s="12"/>
      <c r="G165" s="12">
        <f t="shared" si="30"/>
        <v>0</v>
      </c>
      <c r="H165" s="12">
        <f t="shared" si="31"/>
        <v>0</v>
      </c>
      <c r="I165" s="12">
        <f t="shared" si="32"/>
        <v>0</v>
      </c>
      <c r="J165" s="12">
        <v>800</v>
      </c>
      <c r="K165" s="12">
        <f t="shared" si="33"/>
        <v>600</v>
      </c>
      <c r="L165" s="12">
        <f t="shared" si="34"/>
        <v>0</v>
      </c>
      <c r="M165" s="11"/>
    </row>
    <row r="166" spans="2:13" ht="27" customHeight="1">
      <c r="B166" s="13"/>
      <c r="C166" s="10" t="s">
        <v>45</v>
      </c>
      <c r="D166" s="11" t="s">
        <v>196</v>
      </c>
      <c r="E166" s="12">
        <v>1400</v>
      </c>
      <c r="F166" s="12"/>
      <c r="G166" s="12">
        <f t="shared" si="30"/>
        <v>0</v>
      </c>
      <c r="H166" s="12">
        <f t="shared" si="31"/>
        <v>0</v>
      </c>
      <c r="I166" s="12">
        <f t="shared" si="32"/>
        <v>0</v>
      </c>
      <c r="J166" s="12">
        <v>890</v>
      </c>
      <c r="K166" s="12">
        <f t="shared" si="33"/>
        <v>510</v>
      </c>
      <c r="L166" s="12">
        <f t="shared" si="34"/>
        <v>0</v>
      </c>
      <c r="M166" s="11"/>
    </row>
    <row r="167" spans="2:13" ht="27" customHeight="1">
      <c r="B167" s="17"/>
      <c r="C167" s="18"/>
      <c r="D167" s="26" t="s">
        <v>156</v>
      </c>
      <c r="E167" s="21"/>
      <c r="F167" s="21"/>
      <c r="G167" s="21">
        <f>SUM(G161:G166)</f>
        <v>0</v>
      </c>
      <c r="H167" s="21">
        <f>SUM(H161:H166)</f>
        <v>0</v>
      </c>
      <c r="I167" s="21">
        <f>SUM(I161:I166)</f>
        <v>0</v>
      </c>
      <c r="J167" s="21"/>
      <c r="K167" s="21"/>
      <c r="L167" s="21">
        <f>SUM(L161:L166)</f>
        <v>0</v>
      </c>
      <c r="M167" s="26"/>
    </row>
    <row r="168" spans="2:13" ht="27" customHeight="1">
      <c r="B168" s="9" t="s">
        <v>197</v>
      </c>
      <c r="C168" s="10" t="s">
        <v>23</v>
      </c>
      <c r="D168" s="11" t="s">
        <v>198</v>
      </c>
      <c r="E168" s="12">
        <v>370</v>
      </c>
      <c r="F168" s="12"/>
      <c r="G168" s="12">
        <f>E168*F168</f>
        <v>0</v>
      </c>
      <c r="H168" s="12">
        <f>G168/10</f>
        <v>0</v>
      </c>
      <c r="I168" s="12">
        <f>G168+H168</f>
        <v>0</v>
      </c>
      <c r="J168" s="12">
        <v>300</v>
      </c>
      <c r="K168" s="12">
        <f>E168-J168</f>
        <v>70</v>
      </c>
      <c r="L168" s="12">
        <f>K168*F168</f>
        <v>0</v>
      </c>
      <c r="M168" s="11"/>
    </row>
    <row r="169" spans="2:13" ht="27" customHeight="1">
      <c r="B169" s="17"/>
      <c r="C169" s="18"/>
      <c r="D169" s="26" t="s">
        <v>156</v>
      </c>
      <c r="E169" s="21"/>
      <c r="F169" s="21"/>
      <c r="G169" s="21">
        <f>SUM(G168:G168)</f>
        <v>0</v>
      </c>
      <c r="H169" s="21">
        <f>SUM(H168:H168)</f>
        <v>0</v>
      </c>
      <c r="I169" s="21">
        <f>SUM(I168:I168)</f>
        <v>0</v>
      </c>
      <c r="J169" s="21"/>
      <c r="K169" s="21"/>
      <c r="L169" s="21">
        <f>SUM(L168:L168)</f>
        <v>0</v>
      </c>
      <c r="M169" s="26"/>
    </row>
    <row r="170" spans="2:13" ht="27" customHeight="1">
      <c r="B170" s="9" t="s">
        <v>199</v>
      </c>
      <c r="C170" s="10" t="s">
        <v>17</v>
      </c>
      <c r="D170" s="11" t="s">
        <v>200</v>
      </c>
      <c r="E170" s="12">
        <v>6950</v>
      </c>
      <c r="F170" s="12"/>
      <c r="G170" s="12">
        <f t="shared" ref="G170:G175" si="35">E170*F170</f>
        <v>0</v>
      </c>
      <c r="H170" s="12">
        <f t="shared" ref="H170:H175" si="36">G170/10</f>
        <v>0</v>
      </c>
      <c r="I170" s="12">
        <f t="shared" ref="I170:I175" si="37">G170+H170</f>
        <v>0</v>
      </c>
      <c r="J170" s="12">
        <v>6540</v>
      </c>
      <c r="K170" s="12">
        <f t="shared" ref="K170:K175" si="38">E170-J170</f>
        <v>410</v>
      </c>
      <c r="L170" s="12">
        <f t="shared" ref="L170:L175" si="39">F170*K170</f>
        <v>0</v>
      </c>
      <c r="M170" s="11"/>
    </row>
    <row r="171" spans="2:13" ht="27" customHeight="1">
      <c r="B171" s="13"/>
      <c r="C171" s="10" t="s">
        <v>14</v>
      </c>
      <c r="D171" s="11" t="s">
        <v>201</v>
      </c>
      <c r="E171" s="12"/>
      <c r="F171" s="12"/>
      <c r="G171" s="12">
        <f t="shared" si="35"/>
        <v>0</v>
      </c>
      <c r="H171" s="12">
        <f t="shared" si="36"/>
        <v>0</v>
      </c>
      <c r="I171" s="12">
        <f t="shared" si="37"/>
        <v>0</v>
      </c>
      <c r="J171" s="12">
        <v>8522</v>
      </c>
      <c r="K171" s="12">
        <f t="shared" si="38"/>
        <v>-8522</v>
      </c>
      <c r="L171" s="12">
        <f t="shared" si="39"/>
        <v>0</v>
      </c>
      <c r="M171" s="11"/>
    </row>
    <row r="172" spans="2:13" ht="27" customHeight="1">
      <c r="B172" s="13"/>
      <c r="C172" s="10" t="s">
        <v>23</v>
      </c>
      <c r="D172" s="11" t="s">
        <v>202</v>
      </c>
      <c r="E172" s="12">
        <v>350</v>
      </c>
      <c r="F172" s="12"/>
      <c r="G172" s="12">
        <f t="shared" si="35"/>
        <v>0</v>
      </c>
      <c r="H172" s="12">
        <f t="shared" si="36"/>
        <v>0</v>
      </c>
      <c r="I172" s="12">
        <f t="shared" si="37"/>
        <v>0</v>
      </c>
      <c r="J172" s="12">
        <v>280</v>
      </c>
      <c r="K172" s="12">
        <f t="shared" si="38"/>
        <v>70</v>
      </c>
      <c r="L172" s="12">
        <f t="shared" si="39"/>
        <v>0</v>
      </c>
      <c r="M172" s="11"/>
    </row>
    <row r="173" spans="2:13" ht="27" customHeight="1">
      <c r="B173" s="13"/>
      <c r="C173" s="10" t="s">
        <v>23</v>
      </c>
      <c r="D173" s="11" t="s">
        <v>203</v>
      </c>
      <c r="E173" s="12">
        <v>560</v>
      </c>
      <c r="F173" s="12"/>
      <c r="G173" s="12">
        <f t="shared" si="35"/>
        <v>0</v>
      </c>
      <c r="H173" s="12">
        <f t="shared" si="36"/>
        <v>0</v>
      </c>
      <c r="I173" s="12">
        <f t="shared" si="37"/>
        <v>0</v>
      </c>
      <c r="J173" s="12">
        <v>510</v>
      </c>
      <c r="K173" s="12">
        <f t="shared" si="38"/>
        <v>50</v>
      </c>
      <c r="L173" s="12">
        <f t="shared" si="39"/>
        <v>0</v>
      </c>
      <c r="M173" s="11"/>
    </row>
    <row r="174" spans="2:13" ht="27" customHeight="1">
      <c r="B174" s="13"/>
      <c r="C174" s="10" t="s">
        <v>23</v>
      </c>
      <c r="D174" s="48" t="s">
        <v>204</v>
      </c>
      <c r="E174" s="52">
        <v>350</v>
      </c>
      <c r="F174" s="52"/>
      <c r="G174" s="52">
        <f t="shared" si="35"/>
        <v>0</v>
      </c>
      <c r="H174" s="52">
        <f t="shared" si="36"/>
        <v>0</v>
      </c>
      <c r="I174" s="52">
        <f t="shared" si="37"/>
        <v>0</v>
      </c>
      <c r="J174" s="52">
        <v>280</v>
      </c>
      <c r="K174" s="52">
        <f t="shared" si="38"/>
        <v>70</v>
      </c>
      <c r="L174" s="52">
        <f t="shared" si="39"/>
        <v>0</v>
      </c>
      <c r="M174" s="48"/>
    </row>
    <row r="175" spans="2:13" ht="27" customHeight="1">
      <c r="B175" s="13"/>
      <c r="C175" s="10" t="s">
        <v>23</v>
      </c>
      <c r="D175" s="48" t="s">
        <v>205</v>
      </c>
      <c r="E175" s="52">
        <v>510</v>
      </c>
      <c r="F175" s="52"/>
      <c r="G175" s="52">
        <f t="shared" si="35"/>
        <v>0</v>
      </c>
      <c r="H175" s="52">
        <f t="shared" si="36"/>
        <v>0</v>
      </c>
      <c r="I175" s="52">
        <f t="shared" si="37"/>
        <v>0</v>
      </c>
      <c r="J175" s="52">
        <v>510</v>
      </c>
      <c r="K175" s="52">
        <f t="shared" si="38"/>
        <v>0</v>
      </c>
      <c r="L175" s="52">
        <f t="shared" si="39"/>
        <v>0</v>
      </c>
      <c r="M175" s="48"/>
    </row>
    <row r="176" spans="2:13" ht="27" customHeight="1">
      <c r="B176" s="17"/>
      <c r="C176" s="18"/>
      <c r="D176" s="26" t="s">
        <v>156</v>
      </c>
      <c r="E176" s="21"/>
      <c r="F176" s="21"/>
      <c r="G176" s="21">
        <f>SUM(G170:G173)</f>
        <v>0</v>
      </c>
      <c r="H176" s="21">
        <f>SUM(H170:H173)</f>
        <v>0</v>
      </c>
      <c r="I176" s="21">
        <f>SUM(I170:I173)</f>
        <v>0</v>
      </c>
      <c r="J176" s="21"/>
      <c r="K176" s="21"/>
      <c r="L176" s="21">
        <f>SUM(L170:L173)</f>
        <v>0</v>
      </c>
      <c r="M176" s="26"/>
    </row>
    <row r="177" spans="2:13" ht="27" customHeight="1">
      <c r="B177" s="9" t="s">
        <v>206</v>
      </c>
      <c r="C177" s="10" t="s">
        <v>23</v>
      </c>
      <c r="D177" s="11" t="s">
        <v>207</v>
      </c>
      <c r="E177" s="12">
        <v>270</v>
      </c>
      <c r="F177" s="12"/>
      <c r="G177" s="12">
        <f t="shared" ref="G177:G187" si="40">E177*F177</f>
        <v>0</v>
      </c>
      <c r="H177" s="12">
        <f t="shared" ref="H177:H187" si="41">G177/10</f>
        <v>0</v>
      </c>
      <c r="I177" s="12">
        <f t="shared" ref="I177:I187" si="42">G177+H177</f>
        <v>0</v>
      </c>
      <c r="J177" s="12">
        <v>210</v>
      </c>
      <c r="K177" s="12">
        <f>E177-J177</f>
        <v>60</v>
      </c>
      <c r="L177" s="12">
        <f>F177*K177</f>
        <v>0</v>
      </c>
      <c r="M177" s="11"/>
    </row>
    <row r="178" spans="2:13" ht="27" customHeight="1">
      <c r="B178" s="13"/>
      <c r="C178" s="10" t="s">
        <v>23</v>
      </c>
      <c r="D178" s="11" t="s">
        <v>208</v>
      </c>
      <c r="E178" s="12">
        <v>270</v>
      </c>
      <c r="F178" s="12"/>
      <c r="G178" s="12">
        <f t="shared" si="40"/>
        <v>0</v>
      </c>
      <c r="H178" s="12">
        <f t="shared" si="41"/>
        <v>0</v>
      </c>
      <c r="I178" s="12">
        <f t="shared" si="42"/>
        <v>0</v>
      </c>
      <c r="J178" s="12">
        <v>210</v>
      </c>
      <c r="K178" s="12">
        <f>E178-J178</f>
        <v>60</v>
      </c>
      <c r="L178" s="12">
        <f>F178*K178</f>
        <v>0</v>
      </c>
      <c r="M178" s="11"/>
    </row>
    <row r="179" spans="2:13" ht="27" customHeight="1">
      <c r="B179" s="13"/>
      <c r="C179" s="10" t="s">
        <v>14</v>
      </c>
      <c r="D179" s="11" t="s">
        <v>209</v>
      </c>
      <c r="E179" s="12">
        <v>9500</v>
      </c>
      <c r="F179" s="12"/>
      <c r="G179" s="12">
        <f t="shared" si="40"/>
        <v>0</v>
      </c>
      <c r="H179" s="12">
        <f t="shared" si="41"/>
        <v>0</v>
      </c>
      <c r="I179" s="12">
        <f t="shared" si="42"/>
        <v>0</v>
      </c>
      <c r="J179" s="12">
        <v>6820</v>
      </c>
      <c r="K179" s="12">
        <f>E179-J179</f>
        <v>2680</v>
      </c>
      <c r="L179" s="12">
        <f>F179*K179</f>
        <v>0</v>
      </c>
      <c r="M179" s="11"/>
    </row>
    <row r="180" spans="2:13" ht="27" customHeight="1">
      <c r="B180" s="13"/>
      <c r="C180" s="10" t="s">
        <v>23</v>
      </c>
      <c r="D180" s="15" t="s">
        <v>210</v>
      </c>
      <c r="E180" s="12">
        <v>280</v>
      </c>
      <c r="F180" s="12"/>
      <c r="G180" s="12">
        <f t="shared" si="40"/>
        <v>0</v>
      </c>
      <c r="H180" s="12">
        <f t="shared" si="41"/>
        <v>0</v>
      </c>
      <c r="I180" s="12">
        <f t="shared" si="42"/>
        <v>0</v>
      </c>
      <c r="J180" s="12">
        <v>230</v>
      </c>
      <c r="K180" s="12">
        <f>E178-J178</f>
        <v>60</v>
      </c>
      <c r="L180" s="12">
        <f>F180*K181</f>
        <v>0</v>
      </c>
      <c r="M180" s="11"/>
    </row>
    <row r="181" spans="2:13" ht="27" customHeight="1">
      <c r="B181" s="13"/>
      <c r="C181" s="10" t="s">
        <v>23</v>
      </c>
      <c r="D181" s="15" t="s">
        <v>211</v>
      </c>
      <c r="E181" s="12">
        <v>280</v>
      </c>
      <c r="F181" s="12"/>
      <c r="G181" s="12">
        <f t="shared" si="40"/>
        <v>0</v>
      </c>
      <c r="H181" s="12">
        <f t="shared" si="41"/>
        <v>0</v>
      </c>
      <c r="I181" s="12">
        <f t="shared" si="42"/>
        <v>0</v>
      </c>
      <c r="J181" s="12">
        <v>230</v>
      </c>
      <c r="K181" s="11">
        <v>50</v>
      </c>
      <c r="L181" s="12">
        <f>F181*K184</f>
        <v>0</v>
      </c>
      <c r="M181" s="11"/>
    </row>
    <row r="182" spans="2:13" ht="27" customHeight="1">
      <c r="B182" s="13"/>
      <c r="C182" s="10" t="s">
        <v>23</v>
      </c>
      <c r="D182" s="15" t="s">
        <v>212</v>
      </c>
      <c r="E182" s="12">
        <v>280</v>
      </c>
      <c r="F182" s="12"/>
      <c r="G182" s="12">
        <f t="shared" si="40"/>
        <v>0</v>
      </c>
      <c r="H182" s="12">
        <f t="shared" si="41"/>
        <v>0</v>
      </c>
      <c r="I182" s="12">
        <f t="shared" si="42"/>
        <v>0</v>
      </c>
      <c r="J182" s="12">
        <v>210</v>
      </c>
      <c r="K182" s="12">
        <f>E180-J180</f>
        <v>50</v>
      </c>
      <c r="L182" s="12">
        <f>F182*K184</f>
        <v>0</v>
      </c>
      <c r="M182" s="11"/>
    </row>
    <row r="183" spans="2:13" ht="27" customHeight="1">
      <c r="B183" s="13"/>
      <c r="C183" s="10" t="s">
        <v>23</v>
      </c>
      <c r="D183" s="15" t="s">
        <v>213</v>
      </c>
      <c r="E183" s="12">
        <v>280</v>
      </c>
      <c r="F183" s="12"/>
      <c r="G183" s="12">
        <f t="shared" si="40"/>
        <v>0</v>
      </c>
      <c r="H183" s="12">
        <f t="shared" si="41"/>
        <v>0</v>
      </c>
      <c r="I183" s="12">
        <f t="shared" si="42"/>
        <v>0</v>
      </c>
      <c r="J183" s="12">
        <v>230</v>
      </c>
      <c r="K183" s="12">
        <f>E181-J181</f>
        <v>50</v>
      </c>
      <c r="L183" s="12">
        <f>F183*K184</f>
        <v>0</v>
      </c>
      <c r="M183" s="11"/>
    </row>
    <row r="184" spans="2:13" ht="27" customHeight="1">
      <c r="B184" s="13"/>
      <c r="C184" s="10" t="s">
        <v>23</v>
      </c>
      <c r="D184" s="15" t="s">
        <v>214</v>
      </c>
      <c r="E184" s="12">
        <v>280</v>
      </c>
      <c r="F184" s="12"/>
      <c r="G184" s="12">
        <f t="shared" si="40"/>
        <v>0</v>
      </c>
      <c r="H184" s="12">
        <f t="shared" si="41"/>
        <v>0</v>
      </c>
      <c r="I184" s="12">
        <f t="shared" si="42"/>
        <v>0</v>
      </c>
      <c r="J184" s="12">
        <v>230</v>
      </c>
      <c r="K184" s="12">
        <f>E184-J184</f>
        <v>50</v>
      </c>
      <c r="L184" s="12">
        <f>F184*K184</f>
        <v>0</v>
      </c>
      <c r="M184" s="11"/>
    </row>
    <row r="185" spans="2:13" ht="27" customHeight="1">
      <c r="B185" s="13"/>
      <c r="C185" s="10" t="s">
        <v>45</v>
      </c>
      <c r="D185" s="15" t="s">
        <v>215</v>
      </c>
      <c r="E185" s="12">
        <v>9000</v>
      </c>
      <c r="F185" s="12"/>
      <c r="G185" s="12">
        <f t="shared" si="40"/>
        <v>0</v>
      </c>
      <c r="H185" s="12">
        <f t="shared" si="41"/>
        <v>0</v>
      </c>
      <c r="I185" s="12">
        <f t="shared" si="42"/>
        <v>0</v>
      </c>
      <c r="J185" s="12">
        <v>7800</v>
      </c>
      <c r="K185" s="12">
        <f>E185-J185</f>
        <v>1200</v>
      </c>
      <c r="L185" s="12">
        <f>F185*K185</f>
        <v>0</v>
      </c>
      <c r="M185" s="50"/>
    </row>
    <row r="186" spans="2:13" ht="27" customHeight="1">
      <c r="B186" s="13"/>
      <c r="C186" s="10" t="s">
        <v>45</v>
      </c>
      <c r="D186" s="15" t="s">
        <v>216</v>
      </c>
      <c r="E186" s="12">
        <v>1000</v>
      </c>
      <c r="F186" s="12"/>
      <c r="G186" s="12">
        <f t="shared" si="40"/>
        <v>0</v>
      </c>
      <c r="H186" s="12">
        <f t="shared" si="41"/>
        <v>0</v>
      </c>
      <c r="I186" s="12">
        <f t="shared" si="42"/>
        <v>0</v>
      </c>
      <c r="J186" s="12">
        <v>731</v>
      </c>
      <c r="K186" s="12">
        <f>E186-J186</f>
        <v>269</v>
      </c>
      <c r="L186" s="12">
        <f>F186*K186</f>
        <v>0</v>
      </c>
      <c r="M186" s="50" t="s">
        <v>93</v>
      </c>
    </row>
    <row r="187" spans="2:13" ht="27" customHeight="1">
      <c r="B187" s="13"/>
      <c r="C187" s="10" t="s">
        <v>45</v>
      </c>
      <c r="D187" s="53" t="s">
        <v>217</v>
      </c>
      <c r="E187" s="25">
        <v>1000</v>
      </c>
      <c r="F187" s="25"/>
      <c r="G187" s="25">
        <f t="shared" si="40"/>
        <v>0</v>
      </c>
      <c r="H187" s="25">
        <f t="shared" si="41"/>
        <v>0</v>
      </c>
      <c r="I187" s="25">
        <f t="shared" si="42"/>
        <v>0</v>
      </c>
      <c r="J187" s="25">
        <v>760</v>
      </c>
      <c r="K187" s="25">
        <f>E187-J187</f>
        <v>240</v>
      </c>
      <c r="L187" s="25">
        <f>F187*K187</f>
        <v>0</v>
      </c>
      <c r="M187" s="50" t="s">
        <v>93</v>
      </c>
    </row>
    <row r="188" spans="2:13" ht="27" customHeight="1">
      <c r="B188" s="17"/>
      <c r="C188" s="18"/>
      <c r="D188" s="26" t="s">
        <v>156</v>
      </c>
      <c r="E188" s="21"/>
      <c r="F188" s="21"/>
      <c r="G188" s="21">
        <f>SUM(G177:G187)</f>
        <v>0</v>
      </c>
      <c r="H188" s="21">
        <f>SUM(H177:H187)</f>
        <v>0</v>
      </c>
      <c r="I188" s="21">
        <f>SUM(I177:I187)</f>
        <v>0</v>
      </c>
      <c r="J188" s="21"/>
      <c r="K188" s="21"/>
      <c r="L188" s="21">
        <f>SUM(L177:L187)</f>
        <v>0</v>
      </c>
      <c r="M188" s="26"/>
    </row>
    <row r="189" spans="2:13" ht="27" customHeight="1">
      <c r="B189" s="27" t="s">
        <v>218</v>
      </c>
      <c r="C189" s="10" t="s">
        <v>17</v>
      </c>
      <c r="D189" s="11" t="s">
        <v>219</v>
      </c>
      <c r="E189" s="12">
        <v>7700</v>
      </c>
      <c r="F189" s="12"/>
      <c r="G189" s="12">
        <f t="shared" ref="G189:G200" si="43">E189*F189</f>
        <v>0</v>
      </c>
      <c r="H189" s="12">
        <f t="shared" ref="H189:H200" si="44">G189/10</f>
        <v>0</v>
      </c>
      <c r="I189" s="12">
        <f t="shared" ref="I189:I200" si="45">G189+H189</f>
        <v>0</v>
      </c>
      <c r="J189" s="12">
        <v>6000</v>
      </c>
      <c r="K189" s="12">
        <f t="shared" ref="K189:K200" si="46">E189-J189</f>
        <v>1700</v>
      </c>
      <c r="L189" s="12">
        <f t="shared" ref="L189:L200" si="47">F189*K189</f>
        <v>0</v>
      </c>
      <c r="M189" s="11"/>
    </row>
    <row r="190" spans="2:13" ht="27" customHeight="1">
      <c r="B190" s="30"/>
      <c r="C190" s="10" t="s">
        <v>17</v>
      </c>
      <c r="D190" s="11" t="s">
        <v>220</v>
      </c>
      <c r="E190" s="12">
        <v>8000</v>
      </c>
      <c r="F190" s="12"/>
      <c r="G190" s="12">
        <f t="shared" si="43"/>
        <v>0</v>
      </c>
      <c r="H190" s="12">
        <f t="shared" si="44"/>
        <v>0</v>
      </c>
      <c r="I190" s="12">
        <f t="shared" si="45"/>
        <v>0</v>
      </c>
      <c r="J190" s="12">
        <v>6540</v>
      </c>
      <c r="K190" s="12">
        <f t="shared" si="46"/>
        <v>1460</v>
      </c>
      <c r="L190" s="12">
        <f t="shared" si="47"/>
        <v>0</v>
      </c>
      <c r="M190" s="11"/>
    </row>
    <row r="191" spans="2:13" ht="27" customHeight="1">
      <c r="B191" s="30"/>
      <c r="C191" s="10" t="s">
        <v>17</v>
      </c>
      <c r="D191" s="11" t="s">
        <v>221</v>
      </c>
      <c r="E191" s="12">
        <v>7700</v>
      </c>
      <c r="F191" s="12"/>
      <c r="G191" s="12">
        <f t="shared" si="43"/>
        <v>0</v>
      </c>
      <c r="H191" s="12">
        <f t="shared" si="44"/>
        <v>0</v>
      </c>
      <c r="I191" s="12">
        <f t="shared" si="45"/>
        <v>0</v>
      </c>
      <c r="J191" s="12">
        <v>6000</v>
      </c>
      <c r="K191" s="12">
        <f t="shared" si="46"/>
        <v>1700</v>
      </c>
      <c r="L191" s="12">
        <f t="shared" si="47"/>
        <v>0</v>
      </c>
      <c r="M191" s="11"/>
    </row>
    <row r="192" spans="2:13" ht="27" customHeight="1">
      <c r="B192" s="30"/>
      <c r="C192" s="10" t="s">
        <v>17</v>
      </c>
      <c r="D192" s="11" t="s">
        <v>222</v>
      </c>
      <c r="E192" s="12">
        <v>8000</v>
      </c>
      <c r="F192" s="12"/>
      <c r="G192" s="12">
        <f t="shared" si="43"/>
        <v>0</v>
      </c>
      <c r="H192" s="12">
        <f t="shared" si="44"/>
        <v>0</v>
      </c>
      <c r="I192" s="12">
        <f t="shared" si="45"/>
        <v>0</v>
      </c>
      <c r="J192" s="12">
        <v>7112</v>
      </c>
      <c r="K192" s="12">
        <f t="shared" si="46"/>
        <v>888</v>
      </c>
      <c r="L192" s="12">
        <f t="shared" si="47"/>
        <v>0</v>
      </c>
      <c r="M192" s="11"/>
    </row>
    <row r="193" spans="2:13" ht="27" customHeight="1">
      <c r="B193" s="30"/>
      <c r="C193" s="10" t="s">
        <v>17</v>
      </c>
      <c r="D193" s="11" t="s">
        <v>223</v>
      </c>
      <c r="E193" s="12">
        <v>8000</v>
      </c>
      <c r="F193" s="12"/>
      <c r="G193" s="12">
        <f t="shared" si="43"/>
        <v>0</v>
      </c>
      <c r="H193" s="12">
        <f t="shared" si="44"/>
        <v>0</v>
      </c>
      <c r="I193" s="12">
        <f t="shared" si="45"/>
        <v>0</v>
      </c>
      <c r="J193" s="12">
        <v>6540</v>
      </c>
      <c r="K193" s="12">
        <f t="shared" si="46"/>
        <v>1460</v>
      </c>
      <c r="L193" s="12">
        <f t="shared" si="47"/>
        <v>0</v>
      </c>
      <c r="M193" s="11"/>
    </row>
    <row r="194" spans="2:13" ht="27" customHeight="1">
      <c r="B194" s="30"/>
      <c r="C194" s="10" t="s">
        <v>17</v>
      </c>
      <c r="D194" s="11" t="s">
        <v>224</v>
      </c>
      <c r="E194" s="12">
        <v>6500</v>
      </c>
      <c r="F194" s="12"/>
      <c r="G194" s="12">
        <f t="shared" si="43"/>
        <v>0</v>
      </c>
      <c r="H194" s="12">
        <f t="shared" si="44"/>
        <v>0</v>
      </c>
      <c r="I194" s="12">
        <f t="shared" si="45"/>
        <v>0</v>
      </c>
      <c r="J194" s="12">
        <v>5140</v>
      </c>
      <c r="K194" s="12">
        <f t="shared" si="46"/>
        <v>1360</v>
      </c>
      <c r="L194" s="12">
        <f t="shared" si="47"/>
        <v>0</v>
      </c>
      <c r="M194" s="11"/>
    </row>
    <row r="195" spans="2:13" ht="27" customHeight="1">
      <c r="B195" s="30"/>
      <c r="C195" s="10" t="s">
        <v>14</v>
      </c>
      <c r="D195" s="11" t="s">
        <v>225</v>
      </c>
      <c r="E195" s="12">
        <v>9800</v>
      </c>
      <c r="F195" s="12"/>
      <c r="G195" s="12">
        <f t="shared" si="43"/>
        <v>0</v>
      </c>
      <c r="H195" s="12">
        <f t="shared" si="44"/>
        <v>0</v>
      </c>
      <c r="I195" s="12">
        <f t="shared" si="45"/>
        <v>0</v>
      </c>
      <c r="J195" s="12">
        <v>7870</v>
      </c>
      <c r="K195" s="12">
        <f t="shared" si="46"/>
        <v>1930</v>
      </c>
      <c r="L195" s="12">
        <f t="shared" si="47"/>
        <v>0</v>
      </c>
      <c r="M195" s="11"/>
    </row>
    <row r="196" spans="2:13" ht="27" customHeight="1">
      <c r="B196" s="30"/>
      <c r="C196" s="10" t="s">
        <v>14</v>
      </c>
      <c r="D196" s="11" t="s">
        <v>226</v>
      </c>
      <c r="E196" s="12">
        <v>11000</v>
      </c>
      <c r="F196" s="12"/>
      <c r="G196" s="12">
        <f t="shared" si="43"/>
        <v>0</v>
      </c>
      <c r="H196" s="12">
        <f t="shared" si="44"/>
        <v>0</v>
      </c>
      <c r="I196" s="12">
        <f t="shared" si="45"/>
        <v>0</v>
      </c>
      <c r="J196" s="12">
        <v>9000</v>
      </c>
      <c r="K196" s="12">
        <f t="shared" si="46"/>
        <v>2000</v>
      </c>
      <c r="L196" s="12">
        <f t="shared" si="47"/>
        <v>0</v>
      </c>
      <c r="M196" s="11"/>
    </row>
    <row r="197" spans="2:13" ht="27" customHeight="1">
      <c r="B197" s="30"/>
      <c r="C197" s="10" t="s">
        <v>23</v>
      </c>
      <c r="D197" s="15" t="s">
        <v>227</v>
      </c>
      <c r="E197" s="12">
        <v>290</v>
      </c>
      <c r="F197" s="12"/>
      <c r="G197" s="12">
        <f t="shared" si="43"/>
        <v>0</v>
      </c>
      <c r="H197" s="12">
        <f t="shared" si="44"/>
        <v>0</v>
      </c>
      <c r="I197" s="12">
        <f t="shared" si="45"/>
        <v>0</v>
      </c>
      <c r="J197" s="12">
        <v>260</v>
      </c>
      <c r="K197" s="12">
        <f t="shared" si="46"/>
        <v>30</v>
      </c>
      <c r="L197" s="12">
        <f t="shared" si="47"/>
        <v>0</v>
      </c>
      <c r="M197" s="50"/>
    </row>
    <row r="198" spans="2:13" ht="27" customHeight="1">
      <c r="B198" s="30"/>
      <c r="C198" s="10" t="s">
        <v>228</v>
      </c>
      <c r="D198" s="15" t="s">
        <v>229</v>
      </c>
      <c r="E198" s="12">
        <v>5300</v>
      </c>
      <c r="F198" s="12"/>
      <c r="G198" s="12">
        <f t="shared" si="43"/>
        <v>0</v>
      </c>
      <c r="H198" s="12">
        <f t="shared" si="44"/>
        <v>0</v>
      </c>
      <c r="I198" s="12">
        <f t="shared" si="45"/>
        <v>0</v>
      </c>
      <c r="J198" s="12">
        <v>4000</v>
      </c>
      <c r="K198" s="12">
        <f t="shared" si="46"/>
        <v>1300</v>
      </c>
      <c r="L198" s="12">
        <f t="shared" si="47"/>
        <v>0</v>
      </c>
      <c r="M198" s="50"/>
    </row>
    <row r="199" spans="2:13" ht="27" customHeight="1">
      <c r="B199" s="30"/>
      <c r="C199" s="10" t="s">
        <v>45</v>
      </c>
      <c r="D199" s="15" t="s">
        <v>230</v>
      </c>
      <c r="E199" s="12">
        <v>5300</v>
      </c>
      <c r="F199" s="12"/>
      <c r="G199" s="12">
        <f t="shared" si="43"/>
        <v>0</v>
      </c>
      <c r="H199" s="12">
        <f t="shared" si="44"/>
        <v>0</v>
      </c>
      <c r="I199" s="12">
        <f t="shared" si="45"/>
        <v>0</v>
      </c>
      <c r="J199" s="12">
        <v>5000</v>
      </c>
      <c r="K199" s="12">
        <f t="shared" si="46"/>
        <v>300</v>
      </c>
      <c r="L199" s="12">
        <f t="shared" si="47"/>
        <v>0</v>
      </c>
      <c r="M199" s="11"/>
    </row>
    <row r="200" spans="2:13" ht="27" customHeight="1">
      <c r="B200" s="30"/>
      <c r="C200" s="10" t="s">
        <v>45</v>
      </c>
      <c r="D200" s="15" t="s">
        <v>231</v>
      </c>
      <c r="E200" s="12">
        <v>1400</v>
      </c>
      <c r="F200" s="12"/>
      <c r="G200" s="12">
        <f t="shared" si="43"/>
        <v>0</v>
      </c>
      <c r="H200" s="12">
        <f t="shared" si="44"/>
        <v>0</v>
      </c>
      <c r="I200" s="12">
        <f t="shared" si="45"/>
        <v>0</v>
      </c>
      <c r="J200" s="12">
        <v>890</v>
      </c>
      <c r="K200" s="12">
        <f t="shared" si="46"/>
        <v>510</v>
      </c>
      <c r="L200" s="12">
        <f t="shared" si="47"/>
        <v>0</v>
      </c>
      <c r="M200" s="11"/>
    </row>
    <row r="201" spans="2:13" ht="27" customHeight="1">
      <c r="B201" s="38"/>
      <c r="C201" s="18"/>
      <c r="D201" s="26" t="s">
        <v>156</v>
      </c>
      <c r="E201" s="21"/>
      <c r="F201" s="21"/>
      <c r="G201" s="21">
        <f>SUM(G189:G200)</f>
        <v>0</v>
      </c>
      <c r="H201" s="21">
        <f>SUM(H189:H200)</f>
        <v>0</v>
      </c>
      <c r="I201" s="21">
        <f>SUM(I189:I200)</f>
        <v>0</v>
      </c>
      <c r="J201" s="21"/>
      <c r="K201" s="21"/>
      <c r="L201" s="21">
        <f>SUM(L189:L200)</f>
        <v>0</v>
      </c>
      <c r="M201" s="26"/>
    </row>
    <row r="202" spans="2:13" ht="27" customHeight="1">
      <c r="B202" s="54" t="s">
        <v>232</v>
      </c>
      <c r="C202" s="10" t="s">
        <v>45</v>
      </c>
      <c r="D202" s="11" t="s">
        <v>233</v>
      </c>
      <c r="E202" s="12">
        <v>19000</v>
      </c>
      <c r="F202" s="12"/>
      <c r="G202" s="12">
        <f t="shared" ref="G202:G210" si="48">E202*F202</f>
        <v>0</v>
      </c>
      <c r="H202" s="12">
        <f t="shared" ref="H202:H207" si="49">G202*10%</f>
        <v>0</v>
      </c>
      <c r="I202" s="12">
        <f t="shared" ref="I202:I210" si="50">G202+H202</f>
        <v>0</v>
      </c>
      <c r="J202" s="12">
        <v>16702</v>
      </c>
      <c r="K202" s="12">
        <f t="shared" ref="K202:K210" si="51">E202-J202</f>
        <v>2298</v>
      </c>
      <c r="L202" s="12">
        <f t="shared" ref="L202:L210" si="52">F202*K202</f>
        <v>0</v>
      </c>
      <c r="M202" s="11"/>
    </row>
    <row r="203" spans="2:13" ht="27" customHeight="1">
      <c r="B203" s="55"/>
      <c r="C203" s="10" t="s">
        <v>45</v>
      </c>
      <c r="D203" s="11" t="s">
        <v>234</v>
      </c>
      <c r="E203" s="12">
        <v>22000</v>
      </c>
      <c r="F203" s="12"/>
      <c r="G203" s="12">
        <f t="shared" si="48"/>
        <v>0</v>
      </c>
      <c r="H203" s="12">
        <f t="shared" si="49"/>
        <v>0</v>
      </c>
      <c r="I203" s="12">
        <f t="shared" si="50"/>
        <v>0</v>
      </c>
      <c r="J203" s="12">
        <v>20120</v>
      </c>
      <c r="K203" s="12">
        <f t="shared" si="51"/>
        <v>1880</v>
      </c>
      <c r="L203" s="12">
        <f t="shared" si="52"/>
        <v>0</v>
      </c>
      <c r="M203" s="11"/>
    </row>
    <row r="204" spans="2:13" ht="27" customHeight="1">
      <c r="B204" s="55"/>
      <c r="C204" s="10" t="s">
        <v>45</v>
      </c>
      <c r="D204" s="11" t="s">
        <v>235</v>
      </c>
      <c r="E204" s="12">
        <v>19000</v>
      </c>
      <c r="F204" s="12"/>
      <c r="G204" s="12">
        <f t="shared" si="48"/>
        <v>0</v>
      </c>
      <c r="H204" s="12">
        <f t="shared" si="49"/>
        <v>0</v>
      </c>
      <c r="I204" s="12">
        <f t="shared" si="50"/>
        <v>0</v>
      </c>
      <c r="J204" s="12">
        <v>15800</v>
      </c>
      <c r="K204" s="12">
        <f t="shared" si="51"/>
        <v>3200</v>
      </c>
      <c r="L204" s="12">
        <f t="shared" si="52"/>
        <v>0</v>
      </c>
      <c r="M204" s="11"/>
    </row>
    <row r="205" spans="2:13" ht="27" customHeight="1">
      <c r="B205" s="55"/>
      <c r="C205" s="10" t="s">
        <v>45</v>
      </c>
      <c r="D205" s="11" t="s">
        <v>236</v>
      </c>
      <c r="E205" s="12">
        <v>1500</v>
      </c>
      <c r="F205" s="12"/>
      <c r="G205" s="12">
        <f t="shared" si="48"/>
        <v>0</v>
      </c>
      <c r="H205" s="12">
        <f t="shared" si="49"/>
        <v>0</v>
      </c>
      <c r="I205" s="12">
        <f t="shared" si="50"/>
        <v>0</v>
      </c>
      <c r="J205" s="12">
        <v>1650</v>
      </c>
      <c r="K205" s="12">
        <f t="shared" si="51"/>
        <v>-150</v>
      </c>
      <c r="L205" s="12">
        <f t="shared" si="52"/>
        <v>0</v>
      </c>
      <c r="M205" s="11"/>
    </row>
    <row r="206" spans="2:13" ht="27" customHeight="1">
      <c r="B206" s="55"/>
      <c r="C206" s="10" t="s">
        <v>34</v>
      </c>
      <c r="D206" s="11" t="s">
        <v>237</v>
      </c>
      <c r="E206" s="12">
        <v>21000</v>
      </c>
      <c r="F206" s="12"/>
      <c r="G206" s="12">
        <f t="shared" si="48"/>
        <v>0</v>
      </c>
      <c r="H206" s="12">
        <f t="shared" si="49"/>
        <v>0</v>
      </c>
      <c r="I206" s="12">
        <f t="shared" si="50"/>
        <v>0</v>
      </c>
      <c r="J206" s="12">
        <v>12700</v>
      </c>
      <c r="K206" s="12">
        <f t="shared" si="51"/>
        <v>8300</v>
      </c>
      <c r="L206" s="12">
        <f t="shared" si="52"/>
        <v>0</v>
      </c>
      <c r="M206" s="11"/>
    </row>
    <row r="207" spans="2:13" ht="27" customHeight="1">
      <c r="B207" s="55"/>
      <c r="C207" s="10" t="s">
        <v>34</v>
      </c>
      <c r="D207" s="15" t="s">
        <v>238</v>
      </c>
      <c r="E207" s="12">
        <v>18000</v>
      </c>
      <c r="F207" s="12"/>
      <c r="G207" s="12">
        <f t="shared" si="48"/>
        <v>0</v>
      </c>
      <c r="H207" s="12">
        <f t="shared" si="49"/>
        <v>0</v>
      </c>
      <c r="I207" s="12">
        <f t="shared" si="50"/>
        <v>0</v>
      </c>
      <c r="J207" s="12">
        <v>12000</v>
      </c>
      <c r="K207" s="12">
        <f t="shared" si="51"/>
        <v>6000</v>
      </c>
      <c r="L207" s="12">
        <f t="shared" si="52"/>
        <v>0</v>
      </c>
      <c r="M207" s="11"/>
    </row>
    <row r="208" spans="2:13" ht="27" customHeight="1">
      <c r="B208" s="55"/>
      <c r="C208" s="10" t="s">
        <v>17</v>
      </c>
      <c r="D208" s="11" t="s">
        <v>239</v>
      </c>
      <c r="E208" s="12">
        <v>6500</v>
      </c>
      <c r="F208" s="12"/>
      <c r="G208" s="12">
        <f t="shared" si="48"/>
        <v>0</v>
      </c>
      <c r="H208" s="12">
        <f>G208/10</f>
        <v>0</v>
      </c>
      <c r="I208" s="12">
        <f t="shared" si="50"/>
        <v>0</v>
      </c>
      <c r="J208" s="12">
        <v>5140</v>
      </c>
      <c r="K208" s="12">
        <f t="shared" si="51"/>
        <v>1360</v>
      </c>
      <c r="L208" s="12">
        <f t="shared" si="52"/>
        <v>0</v>
      </c>
      <c r="M208" s="11"/>
    </row>
    <row r="209" spans="2:13" ht="27" customHeight="1">
      <c r="B209" s="55"/>
      <c r="C209" s="10" t="s">
        <v>14</v>
      </c>
      <c r="D209" s="11" t="s">
        <v>240</v>
      </c>
      <c r="E209" s="12">
        <v>12000</v>
      </c>
      <c r="F209" s="12"/>
      <c r="G209" s="12">
        <f t="shared" si="48"/>
        <v>0</v>
      </c>
      <c r="H209" s="12">
        <f>G209*10%</f>
        <v>0</v>
      </c>
      <c r="I209" s="12">
        <f t="shared" si="50"/>
        <v>0</v>
      </c>
      <c r="J209" s="12">
        <v>9000</v>
      </c>
      <c r="K209" s="12">
        <f t="shared" si="51"/>
        <v>3000</v>
      </c>
      <c r="L209" s="12">
        <f t="shared" si="52"/>
        <v>0</v>
      </c>
      <c r="M209" s="11"/>
    </row>
    <row r="210" spans="2:13" ht="27" customHeight="1">
      <c r="B210" s="55"/>
      <c r="C210" s="10" t="s">
        <v>45</v>
      </c>
      <c r="D210" s="11" t="s">
        <v>241</v>
      </c>
      <c r="E210" s="12">
        <v>1680</v>
      </c>
      <c r="F210" s="12"/>
      <c r="G210" s="12">
        <f t="shared" si="48"/>
        <v>0</v>
      </c>
      <c r="H210" s="12">
        <f>G210*10%</f>
        <v>0</v>
      </c>
      <c r="I210" s="12">
        <f t="shared" si="50"/>
        <v>0</v>
      </c>
      <c r="J210" s="12">
        <v>1416</v>
      </c>
      <c r="K210" s="12">
        <f t="shared" si="51"/>
        <v>264</v>
      </c>
      <c r="L210" s="12">
        <f t="shared" si="52"/>
        <v>0</v>
      </c>
      <c r="M210" s="11"/>
    </row>
    <row r="211" spans="2:13" ht="27" customHeight="1">
      <c r="B211" s="56"/>
      <c r="C211" s="18"/>
      <c r="D211" s="26" t="s">
        <v>156</v>
      </c>
      <c r="E211" s="21">
        <f>SUM(E202:E210)</f>
        <v>120680</v>
      </c>
      <c r="F211" s="21"/>
      <c r="G211" s="21">
        <f>SUM(G202:G210)</f>
        <v>0</v>
      </c>
      <c r="H211" s="21">
        <f>SUM(H202:H210)</f>
        <v>0</v>
      </c>
      <c r="I211" s="21">
        <f>SUM(I202:I210)</f>
        <v>0</v>
      </c>
      <c r="J211" s="21"/>
      <c r="K211" s="21"/>
      <c r="L211" s="21">
        <f>SUM(L202:L210)</f>
        <v>0</v>
      </c>
      <c r="M211" s="26"/>
    </row>
    <row r="212" spans="2:13" ht="27" customHeight="1">
      <c r="B212" s="9" t="s">
        <v>242</v>
      </c>
      <c r="C212" s="10" t="s">
        <v>45</v>
      </c>
      <c r="D212" s="11" t="s">
        <v>243</v>
      </c>
      <c r="E212" s="12">
        <v>1400</v>
      </c>
      <c r="F212" s="12"/>
      <c r="G212" s="12">
        <f>E212*F212</f>
        <v>0</v>
      </c>
      <c r="H212" s="12">
        <f>G212/10</f>
        <v>0</v>
      </c>
      <c r="I212" s="12">
        <f>G212+H212</f>
        <v>0</v>
      </c>
      <c r="J212" s="12">
        <v>1150</v>
      </c>
      <c r="K212" s="12">
        <f>E212-J212</f>
        <v>250</v>
      </c>
      <c r="L212" s="12">
        <f>F212*K212</f>
        <v>0</v>
      </c>
      <c r="M212" s="11" t="s">
        <v>244</v>
      </c>
    </row>
    <row r="213" spans="2:13" ht="27" customHeight="1">
      <c r="B213" s="13"/>
      <c r="C213" s="10" t="s">
        <v>23</v>
      </c>
      <c r="D213" s="11" t="s">
        <v>245</v>
      </c>
      <c r="E213" s="12">
        <v>330</v>
      </c>
      <c r="F213" s="12"/>
      <c r="G213" s="12">
        <f>E213*F213</f>
        <v>0</v>
      </c>
      <c r="H213" s="12">
        <f>G213/10</f>
        <v>0</v>
      </c>
      <c r="I213" s="12">
        <f>G213+H213</f>
        <v>0</v>
      </c>
      <c r="J213" s="12">
        <v>260</v>
      </c>
      <c r="K213" s="12">
        <f>E213-J213</f>
        <v>70</v>
      </c>
      <c r="L213" s="12">
        <f>F213*K213</f>
        <v>0</v>
      </c>
      <c r="M213" s="11"/>
    </row>
    <row r="214" spans="2:13" ht="27" customHeight="1">
      <c r="B214" s="13"/>
      <c r="C214" s="10" t="s">
        <v>23</v>
      </c>
      <c r="D214" s="11" t="s">
        <v>246</v>
      </c>
      <c r="E214" s="12">
        <v>330</v>
      </c>
      <c r="F214" s="12">
        <v>10000</v>
      </c>
      <c r="G214" s="12">
        <f>E214*F214</f>
        <v>3300000</v>
      </c>
      <c r="H214" s="12">
        <f>G214/10</f>
        <v>330000</v>
      </c>
      <c r="I214" s="12">
        <f>G214+H214</f>
        <v>3630000</v>
      </c>
      <c r="J214" s="12">
        <v>260</v>
      </c>
      <c r="K214" s="12">
        <f>E214-J214</f>
        <v>70</v>
      </c>
      <c r="L214" s="12">
        <f>F214*K214</f>
        <v>700000</v>
      </c>
      <c r="M214" s="11" t="s">
        <v>247</v>
      </c>
    </row>
    <row r="215" spans="2:13" ht="27" customHeight="1">
      <c r="B215" s="13"/>
      <c r="C215" s="10" t="s">
        <v>20</v>
      </c>
      <c r="D215" s="15" t="s">
        <v>248</v>
      </c>
      <c r="E215" s="12">
        <v>1300</v>
      </c>
      <c r="F215" s="12"/>
      <c r="G215" s="12">
        <f>E215*F215</f>
        <v>0</v>
      </c>
      <c r="H215" s="12">
        <f>G215/10</f>
        <v>0</v>
      </c>
      <c r="I215" s="12">
        <f>G215+H215</f>
        <v>0</v>
      </c>
      <c r="J215" s="12">
        <v>800</v>
      </c>
      <c r="K215" s="12">
        <f>E215-J215</f>
        <v>500</v>
      </c>
      <c r="L215" s="12">
        <f>F215*K215</f>
        <v>0</v>
      </c>
      <c r="M215" s="11"/>
    </row>
    <row r="216" spans="2:13" ht="27" customHeight="1">
      <c r="B216" s="13"/>
      <c r="C216" s="10" t="s">
        <v>99</v>
      </c>
      <c r="D216" s="15" t="s">
        <v>188</v>
      </c>
      <c r="E216" s="12">
        <v>250000</v>
      </c>
      <c r="F216" s="12"/>
      <c r="G216" s="12">
        <f>E216*F216</f>
        <v>0</v>
      </c>
      <c r="H216" s="12">
        <f>G216/10</f>
        <v>0</v>
      </c>
      <c r="I216" s="12">
        <f>G216+H216</f>
        <v>0</v>
      </c>
      <c r="J216" s="12"/>
      <c r="K216" s="12">
        <f>E216-J216</f>
        <v>250000</v>
      </c>
      <c r="L216" s="12">
        <f>F216*K216</f>
        <v>0</v>
      </c>
      <c r="M216" s="11"/>
    </row>
    <row r="217" spans="2:13" ht="27" customHeight="1">
      <c r="B217" s="17"/>
      <c r="C217" s="18"/>
      <c r="D217" s="26" t="s">
        <v>156</v>
      </c>
      <c r="E217" s="21">
        <f>SUM(E212:E216)</f>
        <v>253360</v>
      </c>
      <c r="F217" s="21"/>
      <c r="G217" s="21">
        <f>SUM(G212:G216)</f>
        <v>3300000</v>
      </c>
      <c r="H217" s="21">
        <f>SUM(H212:H216)</f>
        <v>330000</v>
      </c>
      <c r="I217" s="21">
        <f>SUM(I212:I216)</f>
        <v>3630000</v>
      </c>
      <c r="J217" s="21"/>
      <c r="K217" s="21"/>
      <c r="L217" s="21">
        <f>SUM(L212:L216)</f>
        <v>700000</v>
      </c>
      <c r="M217" s="22">
        <f>L217/G217</f>
        <v>0.21212121212121213</v>
      </c>
    </row>
    <row r="218" spans="2:13" ht="27" customHeight="1">
      <c r="B218" s="27" t="s">
        <v>249</v>
      </c>
      <c r="C218" s="10" t="s">
        <v>23</v>
      </c>
      <c r="D218" s="11" t="s">
        <v>250</v>
      </c>
      <c r="E218" s="12">
        <v>300</v>
      </c>
      <c r="F218" s="12"/>
      <c r="G218" s="12">
        <f t="shared" ref="G218:G225" si="53">E218*F218</f>
        <v>0</v>
      </c>
      <c r="H218" s="12">
        <f t="shared" ref="H218:H225" si="54">G218/10</f>
        <v>0</v>
      </c>
      <c r="I218" s="12">
        <f t="shared" ref="I218:I225" si="55">G218+H218</f>
        <v>0</v>
      </c>
      <c r="J218" s="12">
        <v>270</v>
      </c>
      <c r="K218" s="12">
        <f t="shared" ref="K218:K225" si="56">E218-J218</f>
        <v>30</v>
      </c>
      <c r="L218" s="12">
        <f t="shared" ref="L218:L225" si="57">F218*K218</f>
        <v>0</v>
      </c>
      <c r="M218" s="11"/>
    </row>
    <row r="219" spans="2:13" ht="27" customHeight="1">
      <c r="B219" s="30"/>
      <c r="C219" s="10" t="s">
        <v>23</v>
      </c>
      <c r="D219" s="11" t="s">
        <v>251</v>
      </c>
      <c r="E219" s="12">
        <v>510</v>
      </c>
      <c r="F219" s="12"/>
      <c r="G219" s="12">
        <f t="shared" si="53"/>
        <v>0</v>
      </c>
      <c r="H219" s="12">
        <f t="shared" si="54"/>
        <v>0</v>
      </c>
      <c r="I219" s="12">
        <f t="shared" si="55"/>
        <v>0</v>
      </c>
      <c r="J219" s="12">
        <v>442</v>
      </c>
      <c r="K219" s="12">
        <f t="shared" si="56"/>
        <v>68</v>
      </c>
      <c r="L219" s="12">
        <f t="shared" si="57"/>
        <v>0</v>
      </c>
      <c r="M219" s="11"/>
    </row>
    <row r="220" spans="2:13" ht="27" customHeight="1">
      <c r="B220" s="30"/>
      <c r="C220" s="10" t="s">
        <v>34</v>
      </c>
      <c r="D220" s="11" t="s">
        <v>252</v>
      </c>
      <c r="E220" s="12">
        <v>16000</v>
      </c>
      <c r="F220" s="12"/>
      <c r="G220" s="12">
        <f t="shared" si="53"/>
        <v>0</v>
      </c>
      <c r="H220" s="12">
        <f t="shared" si="54"/>
        <v>0</v>
      </c>
      <c r="I220" s="12">
        <f t="shared" si="55"/>
        <v>0</v>
      </c>
      <c r="J220" s="12">
        <v>12000</v>
      </c>
      <c r="K220" s="12">
        <f t="shared" si="56"/>
        <v>4000</v>
      </c>
      <c r="L220" s="12">
        <f t="shared" si="57"/>
        <v>0</v>
      </c>
      <c r="M220" s="11"/>
    </row>
    <row r="221" spans="2:13" ht="27" customHeight="1">
      <c r="B221" s="30"/>
      <c r="C221" s="10" t="s">
        <v>34</v>
      </c>
      <c r="D221" s="11" t="s">
        <v>253</v>
      </c>
      <c r="E221" s="12">
        <v>17000</v>
      </c>
      <c r="F221" s="12"/>
      <c r="G221" s="12">
        <f t="shared" si="53"/>
        <v>0</v>
      </c>
      <c r="H221" s="12">
        <f t="shared" si="54"/>
        <v>0</v>
      </c>
      <c r="I221" s="12">
        <f t="shared" si="55"/>
        <v>0</v>
      </c>
      <c r="J221" s="12">
        <v>14000</v>
      </c>
      <c r="K221" s="12">
        <f t="shared" si="56"/>
        <v>3000</v>
      </c>
      <c r="L221" s="12">
        <f t="shared" si="57"/>
        <v>0</v>
      </c>
      <c r="M221" s="11"/>
    </row>
    <row r="222" spans="2:13" ht="27" customHeight="1">
      <c r="B222" s="30"/>
      <c r="C222" s="10" t="s">
        <v>20</v>
      </c>
      <c r="D222" s="11" t="s">
        <v>22</v>
      </c>
      <c r="E222" s="12">
        <v>1500</v>
      </c>
      <c r="F222" s="12"/>
      <c r="G222" s="12">
        <f t="shared" si="53"/>
        <v>0</v>
      </c>
      <c r="H222" s="12">
        <f t="shared" si="54"/>
        <v>0</v>
      </c>
      <c r="I222" s="12">
        <f t="shared" si="55"/>
        <v>0</v>
      </c>
      <c r="J222" s="12">
        <v>410</v>
      </c>
      <c r="K222" s="12">
        <f t="shared" si="56"/>
        <v>1090</v>
      </c>
      <c r="L222" s="12">
        <f t="shared" si="57"/>
        <v>0</v>
      </c>
      <c r="M222" s="11"/>
    </row>
    <row r="223" spans="2:13" ht="27" customHeight="1">
      <c r="B223" s="30"/>
      <c r="C223" s="10" t="s">
        <v>34</v>
      </c>
      <c r="D223" s="15" t="s">
        <v>254</v>
      </c>
      <c r="E223" s="12">
        <v>14500</v>
      </c>
      <c r="F223" s="12"/>
      <c r="G223" s="12">
        <f t="shared" si="53"/>
        <v>0</v>
      </c>
      <c r="H223" s="12">
        <f t="shared" si="54"/>
        <v>0</v>
      </c>
      <c r="I223" s="12">
        <f t="shared" si="55"/>
        <v>0</v>
      </c>
      <c r="J223" s="12">
        <v>14500</v>
      </c>
      <c r="K223" s="12">
        <f t="shared" si="56"/>
        <v>0</v>
      </c>
      <c r="L223" s="12">
        <f t="shared" si="57"/>
        <v>0</v>
      </c>
      <c r="M223" s="15"/>
    </row>
    <row r="224" spans="2:13" ht="27" customHeight="1">
      <c r="B224" s="30"/>
      <c r="C224" s="10" t="s">
        <v>45</v>
      </c>
      <c r="D224" s="11" t="s">
        <v>255</v>
      </c>
      <c r="E224" s="12">
        <v>1300</v>
      </c>
      <c r="F224" s="12"/>
      <c r="G224" s="12">
        <f t="shared" si="53"/>
        <v>0</v>
      </c>
      <c r="H224" s="12">
        <f t="shared" si="54"/>
        <v>0</v>
      </c>
      <c r="I224" s="12">
        <f t="shared" si="55"/>
        <v>0</v>
      </c>
      <c r="J224" s="12">
        <v>860</v>
      </c>
      <c r="K224" s="12">
        <f t="shared" si="56"/>
        <v>440</v>
      </c>
      <c r="L224" s="12">
        <f t="shared" si="57"/>
        <v>0</v>
      </c>
      <c r="M224" s="11" t="s">
        <v>256</v>
      </c>
    </row>
    <row r="225" spans="2:13" ht="27" customHeight="1">
      <c r="B225" s="30"/>
      <c r="C225" s="10" t="s">
        <v>20</v>
      </c>
      <c r="D225" s="11" t="s">
        <v>257</v>
      </c>
      <c r="E225" s="12">
        <v>900</v>
      </c>
      <c r="F225" s="12"/>
      <c r="G225" s="12">
        <f t="shared" si="53"/>
        <v>0</v>
      </c>
      <c r="H225" s="12">
        <f t="shared" si="54"/>
        <v>0</v>
      </c>
      <c r="I225" s="12">
        <f t="shared" si="55"/>
        <v>0</v>
      </c>
      <c r="J225" s="12"/>
      <c r="K225" s="12">
        <f t="shared" si="56"/>
        <v>900</v>
      </c>
      <c r="L225" s="12">
        <f t="shared" si="57"/>
        <v>0</v>
      </c>
      <c r="M225" s="11"/>
    </row>
    <row r="226" spans="2:13" ht="27" customHeight="1">
      <c r="B226" s="38"/>
      <c r="C226" s="18"/>
      <c r="D226" s="26" t="s">
        <v>27</v>
      </c>
      <c r="E226" s="21"/>
      <c r="F226" s="21"/>
      <c r="G226" s="21">
        <f>SUM(G218:G225)</f>
        <v>0</v>
      </c>
      <c r="H226" s="21">
        <f>SUM(H218:H225)</f>
        <v>0</v>
      </c>
      <c r="I226" s="21">
        <f>SUM(I218:I225)</f>
        <v>0</v>
      </c>
      <c r="J226" s="21"/>
      <c r="K226" s="21"/>
      <c r="L226" s="21">
        <f>SUM(L218:L225)</f>
        <v>0</v>
      </c>
      <c r="M226" s="26"/>
    </row>
    <row r="227" spans="2:13" ht="27" customHeight="1">
      <c r="B227" s="9" t="s">
        <v>258</v>
      </c>
      <c r="C227" s="10" t="s">
        <v>17</v>
      </c>
      <c r="D227" s="11" t="s">
        <v>259</v>
      </c>
      <c r="E227" s="12">
        <v>9500</v>
      </c>
      <c r="F227" s="12"/>
      <c r="G227" s="12">
        <f>E227*F227</f>
        <v>0</v>
      </c>
      <c r="H227" s="12">
        <f>G227/10</f>
        <v>0</v>
      </c>
      <c r="I227" s="12">
        <f>G227+H227</f>
        <v>0</v>
      </c>
      <c r="J227" s="12">
        <v>7194</v>
      </c>
      <c r="K227" s="12">
        <f>E227-J227</f>
        <v>2306</v>
      </c>
      <c r="L227" s="12">
        <f>F227*K227</f>
        <v>0</v>
      </c>
      <c r="M227" s="11"/>
    </row>
    <row r="228" spans="2:13" ht="27" customHeight="1">
      <c r="B228" s="17"/>
      <c r="C228" s="18"/>
      <c r="D228" s="26" t="s">
        <v>156</v>
      </c>
      <c r="E228" s="21">
        <f>SUM(E227:E227)</f>
        <v>9500</v>
      </c>
      <c r="F228" s="21"/>
      <c r="G228" s="21">
        <f>SUM(G227:G227)</f>
        <v>0</v>
      </c>
      <c r="H228" s="21">
        <f>SUM(H227:H227)</f>
        <v>0</v>
      </c>
      <c r="I228" s="21">
        <f>SUM(I227:I227)</f>
        <v>0</v>
      </c>
      <c r="J228" s="21"/>
      <c r="K228" s="21"/>
      <c r="L228" s="21">
        <f>SUM(L227:L227)</f>
        <v>0</v>
      </c>
      <c r="M228" s="26"/>
    </row>
    <row r="229" spans="2:13" ht="27" customHeight="1">
      <c r="B229" s="9" t="s">
        <v>260</v>
      </c>
      <c r="C229" s="10" t="s">
        <v>23</v>
      </c>
      <c r="D229" s="14" t="s">
        <v>261</v>
      </c>
      <c r="E229" s="12">
        <v>670</v>
      </c>
      <c r="F229" s="12"/>
      <c r="G229" s="12">
        <f t="shared" ref="G229:G241" si="58">E229*F229</f>
        <v>0</v>
      </c>
      <c r="H229" s="12">
        <f t="shared" ref="H229:H241" si="59">G229/10</f>
        <v>0</v>
      </c>
      <c r="I229" s="12">
        <f t="shared" ref="I229:I241" si="60">G229+H229</f>
        <v>0</v>
      </c>
      <c r="J229" s="12">
        <v>490</v>
      </c>
      <c r="K229" s="12">
        <f t="shared" ref="K229:K241" si="61">E229-J229</f>
        <v>180</v>
      </c>
      <c r="L229" s="12">
        <f t="shared" ref="L229:L241" si="62">F229*K229</f>
        <v>0</v>
      </c>
      <c r="M229" s="11"/>
    </row>
    <row r="230" spans="2:13" ht="27" customHeight="1">
      <c r="B230" s="13"/>
      <c r="C230" s="10" t="s">
        <v>23</v>
      </c>
      <c r="D230" s="11" t="s">
        <v>262</v>
      </c>
      <c r="E230" s="12">
        <v>760</v>
      </c>
      <c r="F230" s="12"/>
      <c r="G230" s="12">
        <f t="shared" si="58"/>
        <v>0</v>
      </c>
      <c r="H230" s="12">
        <f t="shared" si="59"/>
        <v>0</v>
      </c>
      <c r="I230" s="12">
        <f t="shared" si="60"/>
        <v>0</v>
      </c>
      <c r="J230" s="12">
        <v>590</v>
      </c>
      <c r="K230" s="12">
        <f t="shared" si="61"/>
        <v>170</v>
      </c>
      <c r="L230" s="12">
        <f t="shared" si="62"/>
        <v>0</v>
      </c>
      <c r="M230" s="11"/>
    </row>
    <row r="231" spans="2:13" ht="27" customHeight="1">
      <c r="B231" s="13"/>
      <c r="C231" s="10" t="s">
        <v>23</v>
      </c>
      <c r="D231" s="11" t="s">
        <v>263</v>
      </c>
      <c r="E231" s="12">
        <v>760</v>
      </c>
      <c r="F231" s="12"/>
      <c r="G231" s="12">
        <f t="shared" si="58"/>
        <v>0</v>
      </c>
      <c r="H231" s="12">
        <f t="shared" si="59"/>
        <v>0</v>
      </c>
      <c r="I231" s="12">
        <f t="shared" si="60"/>
        <v>0</v>
      </c>
      <c r="J231" s="12">
        <v>630</v>
      </c>
      <c r="K231" s="12">
        <f t="shared" si="61"/>
        <v>130</v>
      </c>
      <c r="L231" s="12">
        <f t="shared" si="62"/>
        <v>0</v>
      </c>
      <c r="M231" s="11"/>
    </row>
    <row r="232" spans="2:13" ht="27" customHeight="1">
      <c r="B232" s="13"/>
      <c r="C232" s="10" t="s">
        <v>23</v>
      </c>
      <c r="D232" s="11" t="s">
        <v>264</v>
      </c>
      <c r="E232" s="12">
        <v>760</v>
      </c>
      <c r="F232" s="12"/>
      <c r="G232" s="12">
        <f t="shared" si="58"/>
        <v>0</v>
      </c>
      <c r="H232" s="12">
        <f t="shared" si="59"/>
        <v>0</v>
      </c>
      <c r="I232" s="12">
        <f t="shared" si="60"/>
        <v>0</v>
      </c>
      <c r="J232" s="12">
        <v>630</v>
      </c>
      <c r="K232" s="12">
        <f t="shared" si="61"/>
        <v>130</v>
      </c>
      <c r="L232" s="12">
        <f t="shared" si="62"/>
        <v>0</v>
      </c>
      <c r="M232" s="11"/>
    </row>
    <row r="233" spans="2:13" ht="27" customHeight="1">
      <c r="B233" s="13"/>
      <c r="C233" s="10" t="s">
        <v>23</v>
      </c>
      <c r="D233" s="11" t="s">
        <v>265</v>
      </c>
      <c r="E233" s="12">
        <v>350</v>
      </c>
      <c r="F233" s="12"/>
      <c r="G233" s="12">
        <f t="shared" si="58"/>
        <v>0</v>
      </c>
      <c r="H233" s="12">
        <f t="shared" si="59"/>
        <v>0</v>
      </c>
      <c r="I233" s="12">
        <f t="shared" si="60"/>
        <v>0</v>
      </c>
      <c r="J233" s="12">
        <v>280</v>
      </c>
      <c r="K233" s="12">
        <f t="shared" si="61"/>
        <v>70</v>
      </c>
      <c r="L233" s="12">
        <f t="shared" si="62"/>
        <v>0</v>
      </c>
      <c r="M233" s="11"/>
    </row>
    <row r="234" spans="2:13" ht="27" customHeight="1">
      <c r="B234" s="13"/>
      <c r="C234" s="10" t="s">
        <v>23</v>
      </c>
      <c r="D234" s="11" t="s">
        <v>266</v>
      </c>
      <c r="E234" s="12">
        <v>760</v>
      </c>
      <c r="F234" s="12"/>
      <c r="G234" s="12">
        <f t="shared" si="58"/>
        <v>0</v>
      </c>
      <c r="H234" s="12">
        <f t="shared" si="59"/>
        <v>0</v>
      </c>
      <c r="I234" s="12">
        <f t="shared" si="60"/>
        <v>0</v>
      </c>
      <c r="J234" s="12">
        <v>645</v>
      </c>
      <c r="K234" s="12">
        <f t="shared" si="61"/>
        <v>115</v>
      </c>
      <c r="L234" s="12">
        <f t="shared" si="62"/>
        <v>0</v>
      </c>
      <c r="M234" s="11"/>
    </row>
    <row r="235" spans="2:13" ht="27" customHeight="1">
      <c r="B235" s="13"/>
      <c r="C235" s="10" t="s">
        <v>23</v>
      </c>
      <c r="D235" s="11" t="s">
        <v>267</v>
      </c>
      <c r="E235" s="12">
        <v>670</v>
      </c>
      <c r="F235" s="12"/>
      <c r="G235" s="12">
        <f t="shared" si="58"/>
        <v>0</v>
      </c>
      <c r="H235" s="12">
        <f t="shared" si="59"/>
        <v>0</v>
      </c>
      <c r="I235" s="12">
        <f t="shared" si="60"/>
        <v>0</v>
      </c>
      <c r="J235" s="12">
        <v>490</v>
      </c>
      <c r="K235" s="12">
        <f t="shared" si="61"/>
        <v>180</v>
      </c>
      <c r="L235" s="12">
        <f t="shared" si="62"/>
        <v>0</v>
      </c>
      <c r="M235" s="11"/>
    </row>
    <row r="236" spans="2:13" ht="27" customHeight="1">
      <c r="B236" s="13"/>
      <c r="C236" s="10" t="s">
        <v>45</v>
      </c>
      <c r="D236" s="11" t="s">
        <v>268</v>
      </c>
      <c r="E236" s="12">
        <v>1400</v>
      </c>
      <c r="F236" s="12"/>
      <c r="G236" s="12">
        <f t="shared" si="58"/>
        <v>0</v>
      </c>
      <c r="H236" s="12">
        <f t="shared" si="59"/>
        <v>0</v>
      </c>
      <c r="I236" s="12">
        <f t="shared" si="60"/>
        <v>0</v>
      </c>
      <c r="J236" s="12">
        <v>1250</v>
      </c>
      <c r="K236" s="12">
        <f t="shared" si="61"/>
        <v>150</v>
      </c>
      <c r="L236" s="12">
        <f t="shared" si="62"/>
        <v>0</v>
      </c>
      <c r="M236" s="11"/>
    </row>
    <row r="237" spans="2:13" ht="27" customHeight="1">
      <c r="B237" s="13"/>
      <c r="C237" s="10" t="s">
        <v>45</v>
      </c>
      <c r="D237" s="11" t="s">
        <v>269</v>
      </c>
      <c r="E237" s="12">
        <v>160</v>
      </c>
      <c r="F237" s="12"/>
      <c r="G237" s="12">
        <f t="shared" si="58"/>
        <v>0</v>
      </c>
      <c r="H237" s="12">
        <f t="shared" si="59"/>
        <v>0</v>
      </c>
      <c r="I237" s="12">
        <f t="shared" si="60"/>
        <v>0</v>
      </c>
      <c r="J237" s="12">
        <v>135</v>
      </c>
      <c r="K237" s="12">
        <f t="shared" si="61"/>
        <v>25</v>
      </c>
      <c r="L237" s="12">
        <f t="shared" si="62"/>
        <v>0</v>
      </c>
      <c r="M237" s="11"/>
    </row>
    <row r="238" spans="2:13" ht="27" customHeight="1">
      <c r="B238" s="13"/>
      <c r="C238" s="10" t="s">
        <v>45</v>
      </c>
      <c r="D238" s="11" t="s">
        <v>270</v>
      </c>
      <c r="E238" s="12">
        <v>180</v>
      </c>
      <c r="F238" s="12"/>
      <c r="G238" s="25">
        <f t="shared" si="58"/>
        <v>0</v>
      </c>
      <c r="H238" s="25">
        <f t="shared" si="59"/>
        <v>0</v>
      </c>
      <c r="I238" s="25">
        <f t="shared" si="60"/>
        <v>0</v>
      </c>
      <c r="J238" s="12">
        <v>155</v>
      </c>
      <c r="K238" s="25">
        <f t="shared" si="61"/>
        <v>25</v>
      </c>
      <c r="L238" s="25">
        <f t="shared" si="62"/>
        <v>0</v>
      </c>
      <c r="M238" s="11"/>
    </row>
    <row r="239" spans="2:13" ht="27" customHeight="1">
      <c r="B239" s="13"/>
      <c r="C239" s="10" t="s">
        <v>17</v>
      </c>
      <c r="D239" s="11" t="s">
        <v>271</v>
      </c>
      <c r="E239" s="12">
        <v>8000</v>
      </c>
      <c r="F239" s="12"/>
      <c r="G239" s="25">
        <f t="shared" si="58"/>
        <v>0</v>
      </c>
      <c r="H239" s="25">
        <f t="shared" si="59"/>
        <v>0</v>
      </c>
      <c r="I239" s="25">
        <f t="shared" si="60"/>
        <v>0</v>
      </c>
      <c r="J239" s="12">
        <v>7194</v>
      </c>
      <c r="K239" s="25">
        <f t="shared" si="61"/>
        <v>806</v>
      </c>
      <c r="L239" s="12">
        <f t="shared" si="62"/>
        <v>0</v>
      </c>
      <c r="M239" s="11"/>
    </row>
    <row r="240" spans="2:13" ht="27" customHeight="1">
      <c r="B240" s="13"/>
      <c r="C240" s="10" t="s">
        <v>99</v>
      </c>
      <c r="D240" s="11" t="s">
        <v>272</v>
      </c>
      <c r="E240" s="12">
        <v>-30000</v>
      </c>
      <c r="F240" s="12"/>
      <c r="G240" s="12">
        <f t="shared" si="58"/>
        <v>0</v>
      </c>
      <c r="H240" s="12">
        <f t="shared" si="59"/>
        <v>0</v>
      </c>
      <c r="I240" s="12">
        <f t="shared" si="60"/>
        <v>0</v>
      </c>
      <c r="J240" s="12"/>
      <c r="K240" s="12">
        <f t="shared" si="61"/>
        <v>-30000</v>
      </c>
      <c r="L240" s="12">
        <f t="shared" si="62"/>
        <v>0</v>
      </c>
      <c r="M240" s="11"/>
    </row>
    <row r="241" spans="2:13" ht="27" customHeight="1">
      <c r="B241" s="13"/>
      <c r="C241" s="10" t="s">
        <v>99</v>
      </c>
      <c r="D241" s="11" t="s">
        <v>273</v>
      </c>
      <c r="E241" s="12">
        <v>-40000</v>
      </c>
      <c r="F241" s="12"/>
      <c r="G241" s="12">
        <f t="shared" si="58"/>
        <v>0</v>
      </c>
      <c r="H241" s="12">
        <f t="shared" si="59"/>
        <v>0</v>
      </c>
      <c r="I241" s="12">
        <f t="shared" si="60"/>
        <v>0</v>
      </c>
      <c r="J241" s="12"/>
      <c r="K241" s="12">
        <f t="shared" si="61"/>
        <v>-40000</v>
      </c>
      <c r="L241" s="12">
        <f t="shared" si="62"/>
        <v>0</v>
      </c>
      <c r="M241" s="11"/>
    </row>
    <row r="242" spans="2:13" ht="27" customHeight="1">
      <c r="B242" s="17"/>
      <c r="C242" s="18"/>
      <c r="D242" s="26" t="s">
        <v>156</v>
      </c>
      <c r="E242" s="21"/>
      <c r="F242" s="21"/>
      <c r="G242" s="21">
        <f>SUM(G229:G241)</f>
        <v>0</v>
      </c>
      <c r="H242" s="21">
        <f>SUM(H229:H241)</f>
        <v>0</v>
      </c>
      <c r="I242" s="21">
        <f>SUM(I229:I241)</f>
        <v>0</v>
      </c>
      <c r="J242" s="21"/>
      <c r="K242" s="21"/>
      <c r="L242" s="21">
        <f>SUM(L229:L241)</f>
        <v>0</v>
      </c>
      <c r="M242" s="22" t="e">
        <f>L242/G242</f>
        <v>#DIV/0!</v>
      </c>
    </row>
    <row r="243" spans="2:13" ht="27" customHeight="1">
      <c r="B243" s="9" t="s">
        <v>274</v>
      </c>
      <c r="C243" s="10" t="s">
        <v>45</v>
      </c>
      <c r="D243" s="11" t="s">
        <v>80</v>
      </c>
      <c r="E243" s="12">
        <v>1400</v>
      </c>
      <c r="F243" s="12"/>
      <c r="G243" s="12">
        <f t="shared" ref="G243:G251" si="63">E243*F243</f>
        <v>0</v>
      </c>
      <c r="H243" s="12">
        <f t="shared" ref="H243:H251" si="64">G243/10</f>
        <v>0</v>
      </c>
      <c r="I243" s="12">
        <f t="shared" ref="I243:I251" si="65">G243+H243</f>
        <v>0</v>
      </c>
      <c r="J243" s="12">
        <v>890</v>
      </c>
      <c r="K243" s="12">
        <f t="shared" ref="K243:K251" si="66">E243-J243</f>
        <v>510</v>
      </c>
      <c r="L243" s="12">
        <f t="shared" ref="L243:L251" si="67">F243*K243</f>
        <v>0</v>
      </c>
      <c r="M243" s="11" t="s">
        <v>275</v>
      </c>
    </row>
    <row r="244" spans="2:13" ht="27" customHeight="1">
      <c r="B244" s="13"/>
      <c r="C244" s="10" t="s">
        <v>45</v>
      </c>
      <c r="D244" s="11" t="s">
        <v>276</v>
      </c>
      <c r="E244" s="12">
        <v>1400</v>
      </c>
      <c r="F244" s="12"/>
      <c r="G244" s="12">
        <f t="shared" si="63"/>
        <v>0</v>
      </c>
      <c r="H244" s="12">
        <f t="shared" si="64"/>
        <v>0</v>
      </c>
      <c r="I244" s="12">
        <f t="shared" si="65"/>
        <v>0</v>
      </c>
      <c r="J244" s="12">
        <v>890</v>
      </c>
      <c r="K244" s="12">
        <f t="shared" si="66"/>
        <v>510</v>
      </c>
      <c r="L244" s="12">
        <f t="shared" si="67"/>
        <v>0</v>
      </c>
      <c r="M244" s="11" t="s">
        <v>275</v>
      </c>
    </row>
    <row r="245" spans="2:13" ht="27" customHeight="1">
      <c r="B245" s="13"/>
      <c r="C245" s="10" t="s">
        <v>45</v>
      </c>
      <c r="D245" s="11" t="s">
        <v>277</v>
      </c>
      <c r="E245" s="12">
        <v>150</v>
      </c>
      <c r="F245" s="12"/>
      <c r="G245" s="12">
        <f t="shared" si="63"/>
        <v>0</v>
      </c>
      <c r="H245" s="12">
        <f t="shared" si="64"/>
        <v>0</v>
      </c>
      <c r="I245" s="12">
        <f t="shared" si="65"/>
        <v>0</v>
      </c>
      <c r="J245" s="12">
        <v>105</v>
      </c>
      <c r="K245" s="12">
        <f t="shared" si="66"/>
        <v>45</v>
      </c>
      <c r="L245" s="12">
        <f t="shared" si="67"/>
        <v>0</v>
      </c>
      <c r="M245" s="11"/>
    </row>
    <row r="246" spans="2:13" ht="27" customHeight="1">
      <c r="B246" s="13"/>
      <c r="C246" s="10" t="s">
        <v>23</v>
      </c>
      <c r="D246" s="48" t="s">
        <v>278</v>
      </c>
      <c r="E246" s="12">
        <v>400</v>
      </c>
      <c r="F246" s="12"/>
      <c r="G246" s="12">
        <f t="shared" si="63"/>
        <v>0</v>
      </c>
      <c r="H246" s="12">
        <f t="shared" si="64"/>
        <v>0</v>
      </c>
      <c r="I246" s="12">
        <f t="shared" si="65"/>
        <v>0</v>
      </c>
      <c r="J246" s="12">
        <v>310</v>
      </c>
      <c r="K246" s="12">
        <f t="shared" si="66"/>
        <v>90</v>
      </c>
      <c r="L246" s="12">
        <f t="shared" si="67"/>
        <v>0</v>
      </c>
      <c r="M246" s="50"/>
    </row>
    <row r="247" spans="2:13" ht="27" customHeight="1">
      <c r="B247" s="13"/>
      <c r="C247" s="10" t="s">
        <v>23</v>
      </c>
      <c r="D247" s="11" t="s">
        <v>279</v>
      </c>
      <c r="E247" s="12">
        <v>400</v>
      </c>
      <c r="F247" s="12"/>
      <c r="G247" s="12">
        <f t="shared" si="63"/>
        <v>0</v>
      </c>
      <c r="H247" s="12">
        <f t="shared" si="64"/>
        <v>0</v>
      </c>
      <c r="I247" s="12">
        <f t="shared" si="65"/>
        <v>0</v>
      </c>
      <c r="J247" s="12">
        <v>310</v>
      </c>
      <c r="K247" s="12">
        <f t="shared" si="66"/>
        <v>90</v>
      </c>
      <c r="L247" s="12">
        <f t="shared" si="67"/>
        <v>0</v>
      </c>
      <c r="M247" s="50"/>
    </row>
    <row r="248" spans="2:13" ht="27" customHeight="1">
      <c r="B248" s="13"/>
      <c r="C248" s="10" t="s">
        <v>23</v>
      </c>
      <c r="D248" s="48" t="s">
        <v>280</v>
      </c>
      <c r="E248" s="12">
        <v>350</v>
      </c>
      <c r="F248" s="12"/>
      <c r="G248" s="12">
        <f t="shared" si="63"/>
        <v>0</v>
      </c>
      <c r="H248" s="12">
        <f t="shared" si="64"/>
        <v>0</v>
      </c>
      <c r="I248" s="12">
        <f t="shared" si="65"/>
        <v>0</v>
      </c>
      <c r="J248" s="12">
        <v>250</v>
      </c>
      <c r="K248" s="12">
        <f t="shared" si="66"/>
        <v>100</v>
      </c>
      <c r="L248" s="12">
        <f t="shared" si="67"/>
        <v>0</v>
      </c>
      <c r="M248" s="11"/>
    </row>
    <row r="249" spans="2:13" ht="27" customHeight="1">
      <c r="B249" s="13"/>
      <c r="C249" s="10" t="s">
        <v>23</v>
      </c>
      <c r="D249" s="11" t="s">
        <v>281</v>
      </c>
      <c r="E249" s="12">
        <v>350</v>
      </c>
      <c r="F249" s="12"/>
      <c r="G249" s="12">
        <f t="shared" si="63"/>
        <v>0</v>
      </c>
      <c r="H249" s="12">
        <f t="shared" si="64"/>
        <v>0</v>
      </c>
      <c r="I249" s="12">
        <f t="shared" si="65"/>
        <v>0</v>
      </c>
      <c r="J249" s="12">
        <v>310</v>
      </c>
      <c r="K249" s="12">
        <f t="shared" si="66"/>
        <v>40</v>
      </c>
      <c r="L249" s="12">
        <f t="shared" si="67"/>
        <v>0</v>
      </c>
      <c r="M249" s="11"/>
    </row>
    <row r="250" spans="2:13" ht="27" customHeight="1">
      <c r="B250" s="13"/>
      <c r="C250" s="10" t="s">
        <v>23</v>
      </c>
      <c r="D250" s="11" t="s">
        <v>282</v>
      </c>
      <c r="E250" s="12">
        <v>360</v>
      </c>
      <c r="F250" s="12"/>
      <c r="G250" s="12">
        <f t="shared" si="63"/>
        <v>0</v>
      </c>
      <c r="H250" s="12">
        <f t="shared" si="64"/>
        <v>0</v>
      </c>
      <c r="I250" s="12">
        <f t="shared" si="65"/>
        <v>0</v>
      </c>
      <c r="J250" s="12">
        <v>310</v>
      </c>
      <c r="K250" s="12">
        <f t="shared" si="66"/>
        <v>50</v>
      </c>
      <c r="L250" s="12">
        <f t="shared" si="67"/>
        <v>0</v>
      </c>
      <c r="M250" s="11"/>
    </row>
    <row r="251" spans="2:13" ht="27" customHeight="1">
      <c r="B251" s="13"/>
      <c r="C251" s="10" t="s">
        <v>23</v>
      </c>
      <c r="D251" s="11" t="s">
        <v>283</v>
      </c>
      <c r="E251" s="12">
        <v>360</v>
      </c>
      <c r="F251" s="12"/>
      <c r="G251" s="12">
        <f t="shared" si="63"/>
        <v>0</v>
      </c>
      <c r="H251" s="12">
        <f t="shared" si="64"/>
        <v>0</v>
      </c>
      <c r="I251" s="12">
        <f t="shared" si="65"/>
        <v>0</v>
      </c>
      <c r="J251" s="12">
        <v>280</v>
      </c>
      <c r="K251" s="12">
        <f t="shared" si="66"/>
        <v>80</v>
      </c>
      <c r="L251" s="12">
        <f t="shared" si="67"/>
        <v>0</v>
      </c>
      <c r="M251" s="11"/>
    </row>
    <row r="252" spans="2:13" ht="27" customHeight="1">
      <c r="B252" s="17"/>
      <c r="C252" s="18"/>
      <c r="D252" s="26" t="s">
        <v>156</v>
      </c>
      <c r="E252" s="21">
        <f>SUM(E243:E251)</f>
        <v>5170</v>
      </c>
      <c r="F252" s="21"/>
      <c r="G252" s="21">
        <f>SUM(G243:G251)</f>
        <v>0</v>
      </c>
      <c r="H252" s="21">
        <f>SUM(H243:H251)</f>
        <v>0</v>
      </c>
      <c r="I252" s="21">
        <f>SUM(I243:I251)</f>
        <v>0</v>
      </c>
      <c r="J252" s="21"/>
      <c r="K252" s="21"/>
      <c r="L252" s="21">
        <f>SUM(L243:L251)</f>
        <v>0</v>
      </c>
      <c r="M252" s="26"/>
    </row>
    <row r="253" spans="2:13" ht="27" customHeight="1">
      <c r="B253" s="27" t="s">
        <v>284</v>
      </c>
      <c r="C253" s="10" t="s">
        <v>45</v>
      </c>
      <c r="D253" s="11" t="s">
        <v>285</v>
      </c>
      <c r="E253" s="12">
        <v>43000</v>
      </c>
      <c r="F253" s="12"/>
      <c r="G253" s="12">
        <f t="shared" ref="G253:G260" si="68">E253*F253</f>
        <v>0</v>
      </c>
      <c r="H253" s="12">
        <f t="shared" ref="H253:H260" si="69">G253/10</f>
        <v>0</v>
      </c>
      <c r="I253" s="12">
        <f t="shared" ref="I253:I260" si="70">G253+H253</f>
        <v>0</v>
      </c>
      <c r="J253" s="12">
        <v>35000</v>
      </c>
      <c r="K253" s="12">
        <f t="shared" ref="K253:K260" si="71">E253-J253</f>
        <v>8000</v>
      </c>
      <c r="L253" s="12">
        <f t="shared" ref="L253:L260" si="72">F253*K253</f>
        <v>0</v>
      </c>
      <c r="M253" s="11"/>
    </row>
    <row r="254" spans="2:13" ht="27" customHeight="1">
      <c r="B254" s="30"/>
      <c r="C254" s="10" t="s">
        <v>45</v>
      </c>
      <c r="D254" s="11" t="s">
        <v>194</v>
      </c>
      <c r="E254" s="12">
        <v>5800</v>
      </c>
      <c r="F254" s="12"/>
      <c r="G254" s="12">
        <f t="shared" si="68"/>
        <v>0</v>
      </c>
      <c r="H254" s="12">
        <f t="shared" si="69"/>
        <v>0</v>
      </c>
      <c r="I254" s="12">
        <f t="shared" si="70"/>
        <v>0</v>
      </c>
      <c r="J254" s="12">
        <v>4000</v>
      </c>
      <c r="K254" s="12">
        <f t="shared" si="71"/>
        <v>1800</v>
      </c>
      <c r="L254" s="12">
        <f t="shared" si="72"/>
        <v>0</v>
      </c>
      <c r="M254" s="11"/>
    </row>
    <row r="255" spans="2:13" ht="27" customHeight="1">
      <c r="B255" s="30"/>
      <c r="C255" s="10" t="s">
        <v>45</v>
      </c>
      <c r="D255" s="11" t="s">
        <v>193</v>
      </c>
      <c r="E255" s="12">
        <v>4000</v>
      </c>
      <c r="F255" s="12"/>
      <c r="G255" s="12">
        <f t="shared" si="68"/>
        <v>0</v>
      </c>
      <c r="H255" s="12">
        <f t="shared" si="69"/>
        <v>0</v>
      </c>
      <c r="I255" s="12">
        <f t="shared" si="70"/>
        <v>0</v>
      </c>
      <c r="J255" s="12">
        <v>3500</v>
      </c>
      <c r="K255" s="12">
        <f t="shared" si="71"/>
        <v>500</v>
      </c>
      <c r="L255" s="12">
        <f t="shared" si="72"/>
        <v>0</v>
      </c>
      <c r="M255" s="11"/>
    </row>
    <row r="256" spans="2:13" ht="27" customHeight="1">
      <c r="B256" s="30"/>
      <c r="C256" s="10" t="s">
        <v>45</v>
      </c>
      <c r="D256" s="15" t="s">
        <v>286</v>
      </c>
      <c r="E256" s="12">
        <v>1400</v>
      </c>
      <c r="F256" s="12"/>
      <c r="G256" s="12">
        <f t="shared" si="68"/>
        <v>0</v>
      </c>
      <c r="H256" s="12">
        <f t="shared" si="69"/>
        <v>0</v>
      </c>
      <c r="I256" s="12">
        <f t="shared" si="70"/>
        <v>0</v>
      </c>
      <c r="J256" s="12">
        <v>1030</v>
      </c>
      <c r="K256" s="12">
        <f t="shared" si="71"/>
        <v>370</v>
      </c>
      <c r="L256" s="12">
        <f t="shared" si="72"/>
        <v>0</v>
      </c>
      <c r="M256" s="15"/>
    </row>
    <row r="257" spans="2:13" ht="27" customHeight="1">
      <c r="B257" s="30"/>
      <c r="C257" s="10" t="s">
        <v>45</v>
      </c>
      <c r="D257" s="15" t="s">
        <v>287</v>
      </c>
      <c r="E257" s="12">
        <v>40000</v>
      </c>
      <c r="F257" s="12"/>
      <c r="G257" s="12">
        <f t="shared" si="68"/>
        <v>0</v>
      </c>
      <c r="H257" s="12">
        <f t="shared" si="69"/>
        <v>0</v>
      </c>
      <c r="I257" s="12">
        <f t="shared" si="70"/>
        <v>0</v>
      </c>
      <c r="J257" s="12">
        <v>31000</v>
      </c>
      <c r="K257" s="12">
        <f t="shared" si="71"/>
        <v>9000</v>
      </c>
      <c r="L257" s="12">
        <f t="shared" si="72"/>
        <v>0</v>
      </c>
      <c r="M257" s="50" t="s">
        <v>288</v>
      </c>
    </row>
    <row r="258" spans="2:13" ht="27" customHeight="1">
      <c r="B258" s="30"/>
      <c r="C258" s="10" t="s">
        <v>45</v>
      </c>
      <c r="D258" s="15" t="s">
        <v>289</v>
      </c>
      <c r="E258" s="12">
        <v>40000</v>
      </c>
      <c r="F258" s="12"/>
      <c r="G258" s="12">
        <f t="shared" si="68"/>
        <v>0</v>
      </c>
      <c r="H258" s="12">
        <f t="shared" si="69"/>
        <v>0</v>
      </c>
      <c r="I258" s="12">
        <f t="shared" si="70"/>
        <v>0</v>
      </c>
      <c r="J258" s="12">
        <v>33000</v>
      </c>
      <c r="K258" s="12">
        <f t="shared" si="71"/>
        <v>7000</v>
      </c>
      <c r="L258" s="12">
        <f t="shared" si="72"/>
        <v>0</v>
      </c>
      <c r="M258" s="50" t="s">
        <v>288</v>
      </c>
    </row>
    <row r="259" spans="2:13" ht="27" customHeight="1">
      <c r="B259" s="30"/>
      <c r="C259" s="10" t="s">
        <v>45</v>
      </c>
      <c r="D259" s="15" t="s">
        <v>290</v>
      </c>
      <c r="E259" s="12">
        <v>45000</v>
      </c>
      <c r="F259" s="12"/>
      <c r="G259" s="12">
        <f t="shared" si="68"/>
        <v>0</v>
      </c>
      <c r="H259" s="12">
        <f t="shared" si="69"/>
        <v>0</v>
      </c>
      <c r="I259" s="12">
        <f t="shared" si="70"/>
        <v>0</v>
      </c>
      <c r="J259" s="12">
        <v>44600</v>
      </c>
      <c r="K259" s="12">
        <f t="shared" si="71"/>
        <v>400</v>
      </c>
      <c r="L259" s="12">
        <f t="shared" si="72"/>
        <v>0</v>
      </c>
      <c r="M259" s="50" t="s">
        <v>291</v>
      </c>
    </row>
    <row r="260" spans="2:13" ht="27" customHeight="1">
      <c r="B260" s="30"/>
      <c r="C260" s="10" t="s">
        <v>99</v>
      </c>
      <c r="D260" s="15" t="s">
        <v>292</v>
      </c>
      <c r="E260" s="12">
        <v>100000</v>
      </c>
      <c r="F260" s="12"/>
      <c r="G260" s="12">
        <f t="shared" si="68"/>
        <v>0</v>
      </c>
      <c r="H260" s="12">
        <f t="shared" si="69"/>
        <v>0</v>
      </c>
      <c r="I260" s="12">
        <f t="shared" si="70"/>
        <v>0</v>
      </c>
      <c r="J260" s="12">
        <v>100000</v>
      </c>
      <c r="K260" s="12">
        <f t="shared" si="71"/>
        <v>0</v>
      </c>
      <c r="L260" s="12">
        <f t="shared" si="72"/>
        <v>0</v>
      </c>
      <c r="M260" s="50"/>
    </row>
    <row r="261" spans="2:13" ht="27" customHeight="1">
      <c r="B261" s="38"/>
      <c r="C261" s="18"/>
      <c r="D261" s="26" t="s">
        <v>156</v>
      </c>
      <c r="E261" s="21"/>
      <c r="F261" s="21"/>
      <c r="G261" s="21">
        <f>SUM(G253:G260)</f>
        <v>0</v>
      </c>
      <c r="H261" s="21">
        <f>SUM(H253:H260)</f>
        <v>0</v>
      </c>
      <c r="I261" s="21">
        <f>SUM(I253:I260)</f>
        <v>0</v>
      </c>
      <c r="J261" s="21"/>
      <c r="K261" s="21"/>
      <c r="L261" s="21">
        <f>SUM(L253:L260)</f>
        <v>0</v>
      </c>
      <c r="M261" s="26"/>
    </row>
    <row r="262" spans="2:13" ht="27" customHeight="1">
      <c r="B262" s="54" t="s">
        <v>293</v>
      </c>
      <c r="C262" s="10" t="s">
        <v>23</v>
      </c>
      <c r="D262" s="11" t="s">
        <v>294</v>
      </c>
      <c r="E262" s="12">
        <v>350</v>
      </c>
      <c r="F262" s="12"/>
      <c r="G262" s="12">
        <f t="shared" ref="G262:G287" si="73">E262*F262</f>
        <v>0</v>
      </c>
      <c r="H262" s="12">
        <f t="shared" ref="H262:H287" si="74">G262/10</f>
        <v>0</v>
      </c>
      <c r="I262" s="12">
        <f t="shared" ref="I262:I287" si="75">G262+H262</f>
        <v>0</v>
      </c>
      <c r="J262" s="12">
        <v>310</v>
      </c>
      <c r="K262" s="12">
        <f t="shared" ref="K262:K287" si="76">E262-J262</f>
        <v>40</v>
      </c>
      <c r="L262" s="12">
        <f t="shared" ref="L262:L283" si="77">F262*K262</f>
        <v>0</v>
      </c>
      <c r="M262" s="24"/>
    </row>
    <row r="263" spans="2:13" ht="27" customHeight="1">
      <c r="B263" s="55"/>
      <c r="C263" s="10" t="s">
        <v>23</v>
      </c>
      <c r="D263" s="11" t="s">
        <v>295</v>
      </c>
      <c r="E263" s="12">
        <v>350</v>
      </c>
      <c r="F263" s="12"/>
      <c r="G263" s="12">
        <f t="shared" si="73"/>
        <v>0</v>
      </c>
      <c r="H263" s="12">
        <f t="shared" si="74"/>
        <v>0</v>
      </c>
      <c r="I263" s="12">
        <f t="shared" si="75"/>
        <v>0</v>
      </c>
      <c r="J263" s="12">
        <v>290</v>
      </c>
      <c r="K263" s="12">
        <f t="shared" si="76"/>
        <v>60</v>
      </c>
      <c r="L263" s="12">
        <f t="shared" si="77"/>
        <v>0</v>
      </c>
      <c r="M263" s="24"/>
    </row>
    <row r="264" spans="2:13" ht="27" customHeight="1">
      <c r="B264" s="55"/>
      <c r="C264" s="10" t="s">
        <v>23</v>
      </c>
      <c r="D264" s="11" t="s">
        <v>296</v>
      </c>
      <c r="E264" s="12">
        <v>350</v>
      </c>
      <c r="F264" s="12"/>
      <c r="G264" s="12">
        <f t="shared" si="73"/>
        <v>0</v>
      </c>
      <c r="H264" s="12">
        <f t="shared" si="74"/>
        <v>0</v>
      </c>
      <c r="I264" s="12">
        <f t="shared" si="75"/>
        <v>0</v>
      </c>
      <c r="J264" s="12">
        <v>280</v>
      </c>
      <c r="K264" s="12">
        <f t="shared" si="76"/>
        <v>70</v>
      </c>
      <c r="L264" s="12">
        <f t="shared" si="77"/>
        <v>0</v>
      </c>
      <c r="M264" s="11"/>
    </row>
    <row r="265" spans="2:13" ht="27" customHeight="1">
      <c r="B265" s="55"/>
      <c r="C265" s="10" t="s">
        <v>23</v>
      </c>
      <c r="D265" s="11" t="s">
        <v>297</v>
      </c>
      <c r="E265" s="12">
        <v>350</v>
      </c>
      <c r="F265" s="12"/>
      <c r="G265" s="12">
        <f t="shared" si="73"/>
        <v>0</v>
      </c>
      <c r="H265" s="12">
        <f t="shared" si="74"/>
        <v>0</v>
      </c>
      <c r="I265" s="12">
        <f t="shared" si="75"/>
        <v>0</v>
      </c>
      <c r="J265" s="12">
        <v>300</v>
      </c>
      <c r="K265" s="12">
        <f t="shared" si="76"/>
        <v>50</v>
      </c>
      <c r="L265" s="12">
        <f t="shared" si="77"/>
        <v>0</v>
      </c>
      <c r="M265" s="15"/>
    </row>
    <row r="266" spans="2:13" ht="27" customHeight="1">
      <c r="B266" s="55"/>
      <c r="C266" s="10" t="s">
        <v>23</v>
      </c>
      <c r="D266" s="11" t="s">
        <v>298</v>
      </c>
      <c r="E266" s="12">
        <v>290</v>
      </c>
      <c r="F266" s="12"/>
      <c r="G266" s="12">
        <f t="shared" si="73"/>
        <v>0</v>
      </c>
      <c r="H266" s="12">
        <f t="shared" si="74"/>
        <v>0</v>
      </c>
      <c r="I266" s="12">
        <f t="shared" si="75"/>
        <v>0</v>
      </c>
      <c r="J266" s="12">
        <v>250</v>
      </c>
      <c r="K266" s="12">
        <f t="shared" si="76"/>
        <v>40</v>
      </c>
      <c r="L266" s="12">
        <f t="shared" si="77"/>
        <v>0</v>
      </c>
      <c r="M266" s="11"/>
    </row>
    <row r="267" spans="2:13" ht="27" customHeight="1">
      <c r="B267" s="55"/>
      <c r="C267" s="10" t="s">
        <v>23</v>
      </c>
      <c r="D267" s="11" t="s">
        <v>299</v>
      </c>
      <c r="E267" s="12">
        <v>300</v>
      </c>
      <c r="F267" s="12"/>
      <c r="G267" s="12">
        <f t="shared" si="73"/>
        <v>0</v>
      </c>
      <c r="H267" s="12">
        <f t="shared" si="74"/>
        <v>0</v>
      </c>
      <c r="I267" s="12">
        <f t="shared" si="75"/>
        <v>0</v>
      </c>
      <c r="J267" s="12">
        <v>230</v>
      </c>
      <c r="K267" s="12">
        <f t="shared" si="76"/>
        <v>70</v>
      </c>
      <c r="L267" s="12">
        <f t="shared" si="77"/>
        <v>0</v>
      </c>
      <c r="M267" s="11"/>
    </row>
    <row r="268" spans="2:13" ht="27" customHeight="1">
      <c r="B268" s="55"/>
      <c r="C268" s="10" t="s">
        <v>23</v>
      </c>
      <c r="D268" s="11" t="s">
        <v>300</v>
      </c>
      <c r="E268" s="12">
        <v>500</v>
      </c>
      <c r="F268" s="12"/>
      <c r="G268" s="12">
        <f t="shared" si="73"/>
        <v>0</v>
      </c>
      <c r="H268" s="12">
        <f t="shared" si="74"/>
        <v>0</v>
      </c>
      <c r="I268" s="12">
        <f t="shared" si="75"/>
        <v>0</v>
      </c>
      <c r="J268" s="12">
        <v>460</v>
      </c>
      <c r="K268" s="12">
        <f t="shared" si="76"/>
        <v>40</v>
      </c>
      <c r="L268" s="12">
        <f t="shared" si="77"/>
        <v>0</v>
      </c>
      <c r="M268" s="11" t="s">
        <v>301</v>
      </c>
    </row>
    <row r="269" spans="2:13" ht="27" customHeight="1">
      <c r="B269" s="55"/>
      <c r="C269" s="10" t="s">
        <v>23</v>
      </c>
      <c r="D269" s="11" t="s">
        <v>302</v>
      </c>
      <c r="E269" s="12">
        <v>350</v>
      </c>
      <c r="F269" s="12"/>
      <c r="G269" s="12">
        <f t="shared" si="73"/>
        <v>0</v>
      </c>
      <c r="H269" s="12">
        <f t="shared" si="74"/>
        <v>0</v>
      </c>
      <c r="I269" s="12">
        <f t="shared" si="75"/>
        <v>0</v>
      </c>
      <c r="J269" s="12">
        <v>320</v>
      </c>
      <c r="K269" s="12">
        <f t="shared" si="76"/>
        <v>30</v>
      </c>
      <c r="L269" s="12">
        <f t="shared" si="77"/>
        <v>0</v>
      </c>
      <c r="M269" s="11"/>
    </row>
    <row r="270" spans="2:13" ht="27" customHeight="1">
      <c r="B270" s="55"/>
      <c r="C270" s="10" t="s">
        <v>23</v>
      </c>
      <c r="D270" s="11" t="s">
        <v>303</v>
      </c>
      <c r="E270" s="12">
        <v>350</v>
      </c>
      <c r="F270" s="12"/>
      <c r="G270" s="12">
        <f t="shared" si="73"/>
        <v>0</v>
      </c>
      <c r="H270" s="12">
        <f t="shared" si="74"/>
        <v>0</v>
      </c>
      <c r="I270" s="12">
        <f t="shared" si="75"/>
        <v>0</v>
      </c>
      <c r="J270" s="12">
        <v>320</v>
      </c>
      <c r="K270" s="12">
        <f t="shared" si="76"/>
        <v>30</v>
      </c>
      <c r="L270" s="12">
        <f t="shared" si="77"/>
        <v>0</v>
      </c>
      <c r="M270" s="11"/>
    </row>
    <row r="271" spans="2:13" ht="27" customHeight="1">
      <c r="B271" s="55"/>
      <c r="C271" s="10" t="s">
        <v>23</v>
      </c>
      <c r="D271" s="11" t="s">
        <v>304</v>
      </c>
      <c r="E271" s="12">
        <v>560</v>
      </c>
      <c r="F271" s="12"/>
      <c r="G271" s="12">
        <f t="shared" si="73"/>
        <v>0</v>
      </c>
      <c r="H271" s="12">
        <f t="shared" si="74"/>
        <v>0</v>
      </c>
      <c r="I271" s="12">
        <f t="shared" si="75"/>
        <v>0</v>
      </c>
      <c r="J271" s="12">
        <v>520</v>
      </c>
      <c r="K271" s="12">
        <f t="shared" si="76"/>
        <v>40</v>
      </c>
      <c r="L271" s="12">
        <f t="shared" si="77"/>
        <v>0</v>
      </c>
      <c r="M271" s="11"/>
    </row>
    <row r="272" spans="2:13" ht="27" customHeight="1">
      <c r="B272" s="55"/>
      <c r="C272" s="10" t="s">
        <v>23</v>
      </c>
      <c r="D272" s="11" t="s">
        <v>305</v>
      </c>
      <c r="E272" s="12">
        <v>380</v>
      </c>
      <c r="F272" s="12"/>
      <c r="G272" s="12">
        <f t="shared" si="73"/>
        <v>0</v>
      </c>
      <c r="H272" s="12">
        <f t="shared" si="74"/>
        <v>0</v>
      </c>
      <c r="I272" s="12">
        <f t="shared" si="75"/>
        <v>0</v>
      </c>
      <c r="J272" s="12">
        <v>350</v>
      </c>
      <c r="K272" s="12">
        <f t="shared" si="76"/>
        <v>30</v>
      </c>
      <c r="L272" s="12">
        <f t="shared" si="77"/>
        <v>0</v>
      </c>
      <c r="M272" s="11"/>
    </row>
    <row r="273" spans="2:13" ht="27" customHeight="1">
      <c r="B273" s="55"/>
      <c r="C273" s="10" t="s">
        <v>23</v>
      </c>
      <c r="D273" s="11" t="s">
        <v>306</v>
      </c>
      <c r="E273" s="12">
        <v>330</v>
      </c>
      <c r="F273" s="12"/>
      <c r="G273" s="12">
        <f t="shared" si="73"/>
        <v>0</v>
      </c>
      <c r="H273" s="12">
        <f t="shared" si="74"/>
        <v>0</v>
      </c>
      <c r="I273" s="12">
        <f t="shared" si="75"/>
        <v>0</v>
      </c>
      <c r="J273" s="12">
        <v>300</v>
      </c>
      <c r="K273" s="12">
        <f t="shared" si="76"/>
        <v>30</v>
      </c>
      <c r="L273" s="12">
        <f t="shared" si="77"/>
        <v>0</v>
      </c>
      <c r="M273" s="11"/>
    </row>
    <row r="274" spans="2:13" ht="27" customHeight="1">
      <c r="B274" s="55"/>
      <c r="C274" s="10" t="s">
        <v>23</v>
      </c>
      <c r="D274" s="11" t="s">
        <v>307</v>
      </c>
      <c r="E274" s="12">
        <v>340</v>
      </c>
      <c r="F274" s="12"/>
      <c r="G274" s="12">
        <f t="shared" si="73"/>
        <v>0</v>
      </c>
      <c r="H274" s="12">
        <f t="shared" si="74"/>
        <v>0</v>
      </c>
      <c r="I274" s="12">
        <f t="shared" si="75"/>
        <v>0</v>
      </c>
      <c r="J274" s="12">
        <v>280</v>
      </c>
      <c r="K274" s="12">
        <f t="shared" si="76"/>
        <v>60</v>
      </c>
      <c r="L274" s="12">
        <f t="shared" si="77"/>
        <v>0</v>
      </c>
      <c r="M274" s="15"/>
    </row>
    <row r="275" spans="2:13" ht="27" customHeight="1">
      <c r="B275" s="55"/>
      <c r="C275" s="10" t="s">
        <v>23</v>
      </c>
      <c r="D275" s="11" t="s">
        <v>308</v>
      </c>
      <c r="E275" s="25">
        <v>320</v>
      </c>
      <c r="F275" s="12"/>
      <c r="G275" s="12">
        <f t="shared" si="73"/>
        <v>0</v>
      </c>
      <c r="H275" s="12">
        <f t="shared" si="74"/>
        <v>0</v>
      </c>
      <c r="I275" s="12">
        <f t="shared" si="75"/>
        <v>0</v>
      </c>
      <c r="J275" s="12">
        <v>300</v>
      </c>
      <c r="K275" s="12">
        <f t="shared" si="76"/>
        <v>20</v>
      </c>
      <c r="L275" s="12">
        <f t="shared" si="77"/>
        <v>0</v>
      </c>
      <c r="M275" s="15"/>
    </row>
    <row r="276" spans="2:13" ht="27" customHeight="1">
      <c r="B276" s="55"/>
      <c r="C276" s="10" t="s">
        <v>23</v>
      </c>
      <c r="D276" s="11" t="s">
        <v>309</v>
      </c>
      <c r="E276" s="12">
        <v>1100</v>
      </c>
      <c r="F276" s="12"/>
      <c r="G276" s="12">
        <f t="shared" si="73"/>
        <v>0</v>
      </c>
      <c r="H276" s="12">
        <f t="shared" si="74"/>
        <v>0</v>
      </c>
      <c r="I276" s="12">
        <f t="shared" si="75"/>
        <v>0</v>
      </c>
      <c r="J276" s="12"/>
      <c r="K276" s="12">
        <f t="shared" si="76"/>
        <v>1100</v>
      </c>
      <c r="L276" s="12">
        <f t="shared" si="77"/>
        <v>0</v>
      </c>
      <c r="M276" s="11"/>
    </row>
    <row r="277" spans="2:13" ht="27" customHeight="1">
      <c r="B277" s="55"/>
      <c r="C277" s="10" t="s">
        <v>99</v>
      </c>
      <c r="D277" s="11" t="s">
        <v>100</v>
      </c>
      <c r="E277" s="12">
        <v>90000</v>
      </c>
      <c r="F277" s="12"/>
      <c r="G277" s="12">
        <f t="shared" si="73"/>
        <v>0</v>
      </c>
      <c r="H277" s="12">
        <f t="shared" si="74"/>
        <v>0</v>
      </c>
      <c r="I277" s="12">
        <f t="shared" si="75"/>
        <v>0</v>
      </c>
      <c r="J277" s="12"/>
      <c r="K277" s="12">
        <f t="shared" si="76"/>
        <v>90000</v>
      </c>
      <c r="L277" s="12">
        <f t="shared" si="77"/>
        <v>0</v>
      </c>
      <c r="M277" s="11"/>
    </row>
    <row r="278" spans="2:13" ht="27" customHeight="1">
      <c r="B278" s="55"/>
      <c r="C278" s="10" t="s">
        <v>23</v>
      </c>
      <c r="D278" s="11" t="s">
        <v>310</v>
      </c>
      <c r="E278" s="12">
        <v>345</v>
      </c>
      <c r="F278" s="12"/>
      <c r="G278" s="12">
        <f t="shared" si="73"/>
        <v>0</v>
      </c>
      <c r="H278" s="12">
        <f t="shared" si="74"/>
        <v>0</v>
      </c>
      <c r="I278" s="12">
        <f t="shared" si="75"/>
        <v>0</v>
      </c>
      <c r="J278" s="12">
        <v>325</v>
      </c>
      <c r="K278" s="12">
        <f t="shared" si="76"/>
        <v>20</v>
      </c>
      <c r="L278" s="12">
        <f t="shared" si="77"/>
        <v>0</v>
      </c>
      <c r="M278" s="11"/>
    </row>
    <row r="279" spans="2:13" ht="27" customHeight="1">
      <c r="B279" s="55"/>
      <c r="C279" s="10" t="s">
        <v>45</v>
      </c>
      <c r="D279" s="11" t="s">
        <v>311</v>
      </c>
      <c r="E279" s="12">
        <v>14000</v>
      </c>
      <c r="F279" s="12"/>
      <c r="G279" s="12">
        <f t="shared" si="73"/>
        <v>0</v>
      </c>
      <c r="H279" s="12">
        <f t="shared" si="74"/>
        <v>0</v>
      </c>
      <c r="I279" s="12">
        <f t="shared" si="75"/>
        <v>0</v>
      </c>
      <c r="J279" s="12">
        <v>10000</v>
      </c>
      <c r="K279" s="12">
        <f t="shared" si="76"/>
        <v>4000</v>
      </c>
      <c r="L279" s="12">
        <f t="shared" si="77"/>
        <v>0</v>
      </c>
      <c r="M279" s="11"/>
    </row>
    <row r="280" spans="2:13" ht="27" customHeight="1">
      <c r="B280" s="55"/>
      <c r="C280" s="10" t="s">
        <v>45</v>
      </c>
      <c r="D280" s="11" t="s">
        <v>312</v>
      </c>
      <c r="E280" s="12">
        <v>25000</v>
      </c>
      <c r="F280" s="12"/>
      <c r="G280" s="12">
        <f t="shared" si="73"/>
        <v>0</v>
      </c>
      <c r="H280" s="12">
        <f t="shared" si="74"/>
        <v>0</v>
      </c>
      <c r="I280" s="12">
        <f t="shared" si="75"/>
        <v>0</v>
      </c>
      <c r="J280" s="12">
        <v>17608</v>
      </c>
      <c r="K280" s="12">
        <f t="shared" si="76"/>
        <v>7392</v>
      </c>
      <c r="L280" s="12">
        <f t="shared" si="77"/>
        <v>0</v>
      </c>
      <c r="M280" s="11"/>
    </row>
    <row r="281" spans="2:13" ht="27" customHeight="1">
      <c r="B281" s="55"/>
      <c r="C281" s="10" t="s">
        <v>45</v>
      </c>
      <c r="D281" s="11" t="s">
        <v>313</v>
      </c>
      <c r="E281" s="12">
        <v>600000</v>
      </c>
      <c r="F281" s="12"/>
      <c r="G281" s="12">
        <f t="shared" si="73"/>
        <v>0</v>
      </c>
      <c r="H281" s="12">
        <f t="shared" si="74"/>
        <v>0</v>
      </c>
      <c r="I281" s="12">
        <f t="shared" si="75"/>
        <v>0</v>
      </c>
      <c r="J281" s="12">
        <v>350000</v>
      </c>
      <c r="K281" s="12">
        <f t="shared" si="76"/>
        <v>250000</v>
      </c>
      <c r="L281" s="12">
        <f t="shared" si="77"/>
        <v>0</v>
      </c>
      <c r="M281" s="11"/>
    </row>
    <row r="282" spans="2:13" ht="27" customHeight="1">
      <c r="B282" s="55"/>
      <c r="C282" s="10" t="s">
        <v>45</v>
      </c>
      <c r="D282" s="11" t="s">
        <v>314</v>
      </c>
      <c r="E282" s="12">
        <v>550000</v>
      </c>
      <c r="F282" s="12"/>
      <c r="G282" s="12">
        <f t="shared" si="73"/>
        <v>0</v>
      </c>
      <c r="H282" s="12">
        <f t="shared" si="74"/>
        <v>0</v>
      </c>
      <c r="I282" s="12">
        <f t="shared" si="75"/>
        <v>0</v>
      </c>
      <c r="J282" s="12">
        <v>350000</v>
      </c>
      <c r="K282" s="12">
        <f t="shared" si="76"/>
        <v>200000</v>
      </c>
      <c r="L282" s="12">
        <f t="shared" si="77"/>
        <v>0</v>
      </c>
      <c r="M282" s="11"/>
    </row>
    <row r="283" spans="2:13" ht="27" customHeight="1">
      <c r="B283" s="55"/>
      <c r="C283" s="10" t="s">
        <v>45</v>
      </c>
      <c r="D283" s="11" t="s">
        <v>315</v>
      </c>
      <c r="E283" s="12">
        <v>105000</v>
      </c>
      <c r="F283" s="12"/>
      <c r="G283" s="12">
        <f t="shared" si="73"/>
        <v>0</v>
      </c>
      <c r="H283" s="12">
        <f t="shared" si="74"/>
        <v>0</v>
      </c>
      <c r="I283" s="12">
        <f t="shared" si="75"/>
        <v>0</v>
      </c>
      <c r="J283" s="12">
        <v>64000</v>
      </c>
      <c r="K283" s="12">
        <f t="shared" si="76"/>
        <v>41000</v>
      </c>
      <c r="L283" s="12">
        <f t="shared" si="77"/>
        <v>0</v>
      </c>
      <c r="M283" s="11"/>
    </row>
    <row r="284" spans="2:13" ht="27" customHeight="1">
      <c r="B284" s="55"/>
      <c r="C284" s="10" t="s">
        <v>316</v>
      </c>
      <c r="D284" s="11" t="s">
        <v>317</v>
      </c>
      <c r="E284" s="12">
        <v>7000</v>
      </c>
      <c r="F284" s="12"/>
      <c r="G284" s="12">
        <f t="shared" si="73"/>
        <v>0</v>
      </c>
      <c r="H284" s="12">
        <f t="shared" si="74"/>
        <v>0</v>
      </c>
      <c r="I284" s="12">
        <f t="shared" si="75"/>
        <v>0</v>
      </c>
      <c r="J284" s="37">
        <v>5964</v>
      </c>
      <c r="K284" s="12">
        <f t="shared" si="76"/>
        <v>1036</v>
      </c>
      <c r="L284" s="12">
        <f>F284*K284</f>
        <v>0</v>
      </c>
      <c r="M284" s="11"/>
    </row>
    <row r="285" spans="2:13" ht="27" customHeight="1">
      <c r="B285" s="55"/>
      <c r="C285" s="10" t="s">
        <v>45</v>
      </c>
      <c r="D285" s="11" t="s">
        <v>318</v>
      </c>
      <c r="E285" s="12">
        <v>1400</v>
      </c>
      <c r="F285" s="12"/>
      <c r="G285" s="12">
        <f t="shared" si="73"/>
        <v>0</v>
      </c>
      <c r="H285" s="12">
        <f t="shared" si="74"/>
        <v>0</v>
      </c>
      <c r="I285" s="12">
        <f t="shared" si="75"/>
        <v>0</v>
      </c>
      <c r="J285" s="12">
        <v>1250</v>
      </c>
      <c r="K285" s="12">
        <f t="shared" si="76"/>
        <v>150</v>
      </c>
      <c r="L285" s="12"/>
      <c r="M285" s="11"/>
    </row>
    <row r="286" spans="2:13" ht="27" customHeight="1">
      <c r="B286" s="55"/>
      <c r="C286" s="10" t="s">
        <v>45</v>
      </c>
      <c r="D286" s="11" t="s">
        <v>319</v>
      </c>
      <c r="E286" s="12">
        <v>1400</v>
      </c>
      <c r="F286" s="12"/>
      <c r="G286" s="12">
        <f t="shared" si="73"/>
        <v>0</v>
      </c>
      <c r="H286" s="12">
        <f t="shared" si="74"/>
        <v>0</v>
      </c>
      <c r="I286" s="12">
        <f t="shared" si="75"/>
        <v>0</v>
      </c>
      <c r="J286" s="12">
        <v>1260</v>
      </c>
      <c r="K286" s="12">
        <f t="shared" si="76"/>
        <v>140</v>
      </c>
      <c r="L286" s="12">
        <f>F286*K286</f>
        <v>0</v>
      </c>
      <c r="M286" s="11"/>
    </row>
    <row r="287" spans="2:13" ht="27" customHeight="1">
      <c r="B287" s="55"/>
      <c r="C287" s="10" t="s">
        <v>45</v>
      </c>
      <c r="D287" s="11" t="s">
        <v>80</v>
      </c>
      <c r="E287" s="12">
        <v>1200</v>
      </c>
      <c r="F287" s="12"/>
      <c r="G287" s="12">
        <f t="shared" si="73"/>
        <v>0</v>
      </c>
      <c r="H287" s="12">
        <f t="shared" si="74"/>
        <v>0</v>
      </c>
      <c r="I287" s="12">
        <f t="shared" si="75"/>
        <v>0</v>
      </c>
      <c r="J287" s="12">
        <v>890</v>
      </c>
      <c r="K287" s="12">
        <f t="shared" si="76"/>
        <v>310</v>
      </c>
      <c r="L287" s="12">
        <f>F287*K287</f>
        <v>0</v>
      </c>
      <c r="M287" s="11"/>
    </row>
    <row r="288" spans="2:13" ht="27" customHeight="1">
      <c r="B288" s="56"/>
      <c r="C288" s="18"/>
      <c r="D288" s="26" t="s">
        <v>156</v>
      </c>
      <c r="E288" s="21">
        <f>SUM(E262:E287)</f>
        <v>1401565</v>
      </c>
      <c r="F288" s="21"/>
      <c r="G288" s="21">
        <f>SUM(G262:G287)</f>
        <v>0</v>
      </c>
      <c r="H288" s="21">
        <f>SUM(H262:H287)</f>
        <v>0</v>
      </c>
      <c r="I288" s="21">
        <f>SUM(I262:I287)</f>
        <v>0</v>
      </c>
      <c r="J288" s="21"/>
      <c r="K288" s="21"/>
      <c r="L288" s="21">
        <f>SUM(L262:L287)</f>
        <v>0</v>
      </c>
      <c r="M288" s="26"/>
    </row>
    <row r="289" spans="2:13" ht="27" customHeight="1">
      <c r="B289" s="54" t="s">
        <v>320</v>
      </c>
      <c r="C289" s="10" t="s">
        <v>45</v>
      </c>
      <c r="D289" s="15" t="s">
        <v>321</v>
      </c>
      <c r="E289" s="12">
        <v>4400</v>
      </c>
      <c r="F289" s="12"/>
      <c r="G289" s="12">
        <f>E289*F289</f>
        <v>0</v>
      </c>
      <c r="H289" s="12">
        <f>G289/10</f>
        <v>0</v>
      </c>
      <c r="I289" s="12">
        <f>G289+H289</f>
        <v>0</v>
      </c>
      <c r="J289" s="12">
        <v>3500</v>
      </c>
      <c r="K289" s="12">
        <f>E289-J289</f>
        <v>900</v>
      </c>
      <c r="L289" s="12">
        <f>F289*K289</f>
        <v>0</v>
      </c>
      <c r="M289" s="11"/>
    </row>
    <row r="290" spans="2:13" ht="27" customHeight="1">
      <c r="B290" s="55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1"/>
    </row>
    <row r="291" spans="2:13" ht="27" customHeight="1">
      <c r="B291" s="56"/>
      <c r="C291" s="18"/>
      <c r="D291" s="26" t="s">
        <v>156</v>
      </c>
      <c r="E291" s="21">
        <f>SUM(E289:E290)</f>
        <v>4400</v>
      </c>
      <c r="F291" s="21"/>
      <c r="G291" s="21">
        <f>SUM(G289:G290)</f>
        <v>0</v>
      </c>
      <c r="H291" s="21">
        <f>SUM(H289:H290)</f>
        <v>0</v>
      </c>
      <c r="I291" s="21">
        <f>SUM(I289:I290)</f>
        <v>0</v>
      </c>
      <c r="J291" s="21"/>
      <c r="K291" s="21"/>
      <c r="L291" s="21">
        <f>SUM(L289:L290)</f>
        <v>0</v>
      </c>
      <c r="M291" s="26"/>
    </row>
    <row r="292" spans="2:13" ht="27" customHeight="1">
      <c r="B292" s="54" t="s">
        <v>322</v>
      </c>
      <c r="C292" s="10" t="s">
        <v>23</v>
      </c>
      <c r="D292" s="15" t="s">
        <v>323</v>
      </c>
      <c r="E292" s="12">
        <v>540</v>
      </c>
      <c r="F292" s="12"/>
      <c r="G292" s="12">
        <f>E292*F292</f>
        <v>0</v>
      </c>
      <c r="H292" s="12">
        <f>G292/10</f>
        <v>0</v>
      </c>
      <c r="I292" s="12">
        <f>G292+H292</f>
        <v>0</v>
      </c>
      <c r="J292" s="12">
        <v>480</v>
      </c>
      <c r="K292" s="12">
        <f>E292-J292</f>
        <v>60</v>
      </c>
      <c r="L292" s="12">
        <f>F292*K292</f>
        <v>0</v>
      </c>
      <c r="M292" s="11"/>
    </row>
    <row r="293" spans="2:13" ht="27" customHeight="1">
      <c r="B293" s="55"/>
      <c r="C293" s="10" t="s">
        <v>45</v>
      </c>
      <c r="D293" s="15" t="s">
        <v>324</v>
      </c>
      <c r="E293" s="12">
        <v>1200</v>
      </c>
      <c r="F293" s="12"/>
      <c r="G293" s="12">
        <f>E293*F293</f>
        <v>0</v>
      </c>
      <c r="H293" s="12">
        <f>G293/10</f>
        <v>0</v>
      </c>
      <c r="I293" s="12">
        <f>G293+H293</f>
        <v>0</v>
      </c>
      <c r="J293" s="12">
        <v>830</v>
      </c>
      <c r="K293" s="12">
        <f>E293-J293</f>
        <v>370</v>
      </c>
      <c r="L293" s="12">
        <f>F293*K293</f>
        <v>0</v>
      </c>
      <c r="M293" s="50"/>
    </row>
    <row r="294" spans="2:13" ht="27" customHeight="1">
      <c r="B294" s="56"/>
      <c r="C294" s="18"/>
      <c r="D294" s="26" t="s">
        <v>156</v>
      </c>
      <c r="E294" s="21">
        <f>SUM(E292:E293)</f>
        <v>1740</v>
      </c>
      <c r="F294" s="21"/>
      <c r="G294" s="21">
        <f>SUM(G292:G293)</f>
        <v>0</v>
      </c>
      <c r="H294" s="21">
        <f>SUM(H292:H293)</f>
        <v>0</v>
      </c>
      <c r="I294" s="21">
        <f>SUM(I292:I293)</f>
        <v>0</v>
      </c>
      <c r="J294" s="21"/>
      <c r="K294" s="21"/>
      <c r="L294" s="21">
        <f>SUM(L292:L293)</f>
        <v>0</v>
      </c>
      <c r="M294" s="26"/>
    </row>
    <row r="295" spans="2:13" ht="27" customHeight="1">
      <c r="B295" s="57" t="s">
        <v>325</v>
      </c>
      <c r="C295" s="10" t="s">
        <v>23</v>
      </c>
      <c r="D295" s="15" t="s">
        <v>326</v>
      </c>
      <c r="E295" s="12">
        <v>600</v>
      </c>
      <c r="F295" s="12"/>
      <c r="G295" s="12">
        <f>E295*F295</f>
        <v>0</v>
      </c>
      <c r="H295" s="12">
        <f>G295/10</f>
        <v>0</v>
      </c>
      <c r="I295" s="12">
        <f>G295+H295</f>
        <v>0</v>
      </c>
      <c r="J295" s="12">
        <v>400</v>
      </c>
      <c r="K295" s="12">
        <f>E295-J295</f>
        <v>200</v>
      </c>
      <c r="L295" s="12">
        <f>F295*K295</f>
        <v>0</v>
      </c>
      <c r="M295" s="11"/>
    </row>
    <row r="296" spans="2:13" ht="27" customHeight="1">
      <c r="B296" s="58"/>
      <c r="C296" s="18"/>
      <c r="D296" s="26" t="s">
        <v>156</v>
      </c>
      <c r="E296" s="21">
        <f>SUM(E295:E295)</f>
        <v>600</v>
      </c>
      <c r="F296" s="21"/>
      <c r="G296" s="21">
        <f>SUM(G295:G295)</f>
        <v>0</v>
      </c>
      <c r="H296" s="21">
        <f>SUM(H295:H295)</f>
        <v>0</v>
      </c>
      <c r="I296" s="21">
        <f>SUM(I295:I295)</f>
        <v>0</v>
      </c>
      <c r="J296" s="21"/>
      <c r="K296" s="21"/>
      <c r="L296" s="21">
        <f>SUM(L295:L295)</f>
        <v>0</v>
      </c>
      <c r="M296" s="26"/>
    </row>
    <row r="297" spans="2:13" ht="27" customHeight="1">
      <c r="B297" s="59" t="s">
        <v>327</v>
      </c>
      <c r="C297" s="10" t="s">
        <v>23</v>
      </c>
      <c r="D297" s="15" t="s">
        <v>328</v>
      </c>
      <c r="E297" s="12">
        <v>600</v>
      </c>
      <c r="F297" s="12"/>
      <c r="G297" s="12">
        <f>E297*F297</f>
        <v>0</v>
      </c>
      <c r="H297" s="12">
        <f>G297/10</f>
        <v>0</v>
      </c>
      <c r="I297" s="12">
        <f>G297+H297</f>
        <v>0</v>
      </c>
      <c r="J297" s="12">
        <v>400</v>
      </c>
      <c r="K297" s="12">
        <f>E297-J297</f>
        <v>200</v>
      </c>
      <c r="L297" s="12">
        <f>F297*K297</f>
        <v>0</v>
      </c>
      <c r="M297" s="11"/>
    </row>
    <row r="298" spans="2:13" ht="27" customHeight="1">
      <c r="B298" s="58"/>
      <c r="C298" s="18"/>
      <c r="D298" s="26" t="s">
        <v>156</v>
      </c>
      <c r="E298" s="21">
        <f>SUM(E297:E297)</f>
        <v>600</v>
      </c>
      <c r="F298" s="21"/>
      <c r="G298" s="21">
        <f>SUM(G297:G297)</f>
        <v>0</v>
      </c>
      <c r="H298" s="21">
        <f>SUM(H297:H297)</f>
        <v>0</v>
      </c>
      <c r="I298" s="21">
        <f>SUM(I297:I297)</f>
        <v>0</v>
      </c>
      <c r="J298" s="21"/>
      <c r="K298" s="21"/>
      <c r="L298" s="21">
        <f>SUM(L297:L297)</f>
        <v>0</v>
      </c>
      <c r="M298" s="26"/>
    </row>
    <row r="299" spans="2:13" ht="27" customHeight="1">
      <c r="B299" s="54" t="s">
        <v>329</v>
      </c>
      <c r="C299" s="10" t="s">
        <v>45</v>
      </c>
      <c r="D299" s="15" t="s">
        <v>330</v>
      </c>
      <c r="E299" s="12">
        <v>1400</v>
      </c>
      <c r="F299" s="12"/>
      <c r="G299" s="12">
        <f>E299*F299</f>
        <v>0</v>
      </c>
      <c r="H299" s="12">
        <f>G299/10</f>
        <v>0</v>
      </c>
      <c r="I299" s="12">
        <f>G299+H299</f>
        <v>0</v>
      </c>
      <c r="J299" s="12">
        <v>890</v>
      </c>
      <c r="K299" s="12">
        <f>E299-J299</f>
        <v>510</v>
      </c>
      <c r="L299" s="12">
        <f>F299*K299</f>
        <v>0</v>
      </c>
      <c r="M299" s="11"/>
    </row>
    <row r="300" spans="2:13" ht="27" customHeight="1">
      <c r="B300" s="55"/>
      <c r="C300" s="10" t="s">
        <v>45</v>
      </c>
      <c r="D300" s="15" t="s">
        <v>331</v>
      </c>
      <c r="E300" s="12">
        <v>1400</v>
      </c>
      <c r="F300" s="12"/>
      <c r="G300" s="12">
        <f>E300*F300</f>
        <v>0</v>
      </c>
      <c r="H300" s="12">
        <f>G300/10</f>
        <v>0</v>
      </c>
      <c r="I300" s="12">
        <f>G300+H300</f>
        <v>0</v>
      </c>
      <c r="J300" s="12">
        <v>890</v>
      </c>
      <c r="K300" s="12">
        <f>E300-J300</f>
        <v>510</v>
      </c>
      <c r="L300" s="12">
        <f>F300*K300</f>
        <v>0</v>
      </c>
      <c r="M300" s="11"/>
    </row>
    <row r="301" spans="2:13" ht="27" customHeight="1">
      <c r="B301" s="55"/>
      <c r="C301" s="10" t="s">
        <v>45</v>
      </c>
      <c r="D301" s="15" t="s">
        <v>98</v>
      </c>
      <c r="E301" s="12">
        <v>7000</v>
      </c>
      <c r="F301" s="12"/>
      <c r="G301" s="12">
        <f>E301*F301</f>
        <v>0</v>
      </c>
      <c r="H301" s="12">
        <f>G301/10</f>
        <v>0</v>
      </c>
      <c r="I301" s="12">
        <f>G301+H301</f>
        <v>0</v>
      </c>
      <c r="J301" s="12">
        <v>4000</v>
      </c>
      <c r="K301" s="12">
        <f>E301-J301</f>
        <v>3000</v>
      </c>
      <c r="L301" s="12">
        <f>F301*K301</f>
        <v>0</v>
      </c>
      <c r="M301" s="11"/>
    </row>
    <row r="302" spans="2:13" ht="27" customHeight="1">
      <c r="B302" s="55"/>
      <c r="C302" s="10" t="s">
        <v>45</v>
      </c>
      <c r="D302" s="15" t="s">
        <v>332</v>
      </c>
      <c r="E302" s="12">
        <v>9000</v>
      </c>
      <c r="F302" s="12"/>
      <c r="G302" s="12">
        <f>E302*F302</f>
        <v>0</v>
      </c>
      <c r="H302" s="12">
        <f>G302/10</f>
        <v>0</v>
      </c>
      <c r="I302" s="12">
        <f>G302+H302</f>
        <v>0</v>
      </c>
      <c r="J302" s="12">
        <v>8000</v>
      </c>
      <c r="K302" s="12">
        <f>E302-J302</f>
        <v>1000</v>
      </c>
      <c r="L302" s="12">
        <f>F302*K302</f>
        <v>0</v>
      </c>
      <c r="M302" s="11" t="s">
        <v>333</v>
      </c>
    </row>
    <row r="303" spans="2:13" ht="27" customHeight="1">
      <c r="B303" s="55"/>
      <c r="C303" s="10" t="s">
        <v>45</v>
      </c>
      <c r="D303" s="11" t="s">
        <v>230</v>
      </c>
      <c r="E303" s="12">
        <v>6000</v>
      </c>
      <c r="F303" s="12"/>
      <c r="G303" s="12">
        <f>E303*F303</f>
        <v>0</v>
      </c>
      <c r="H303" s="12">
        <f>G303/10</f>
        <v>0</v>
      </c>
      <c r="I303" s="12">
        <f>G303+H303</f>
        <v>0</v>
      </c>
      <c r="J303" s="12">
        <v>5000</v>
      </c>
      <c r="K303" s="12">
        <f>E303-J303</f>
        <v>1000</v>
      </c>
      <c r="L303" s="12">
        <f>F303*K303</f>
        <v>0</v>
      </c>
      <c r="M303" s="11"/>
    </row>
    <row r="304" spans="2:13" ht="27" customHeight="1">
      <c r="B304" s="56"/>
      <c r="C304" s="18"/>
      <c r="D304" s="26" t="s">
        <v>156</v>
      </c>
      <c r="E304" s="21">
        <f>SUM(E299:E303)</f>
        <v>24800</v>
      </c>
      <c r="F304" s="21"/>
      <c r="G304" s="21">
        <f>SUM(G299:G303)</f>
        <v>0</v>
      </c>
      <c r="H304" s="21">
        <f>SUM(H299:H303)</f>
        <v>0</v>
      </c>
      <c r="I304" s="21">
        <f>SUM(I299:I303)</f>
        <v>0</v>
      </c>
      <c r="J304" s="21"/>
      <c r="K304" s="21"/>
      <c r="L304" s="21">
        <f>SUM(L299:L303)</f>
        <v>0</v>
      </c>
      <c r="M304" s="22" t="e">
        <f>L304/G304</f>
        <v>#DIV/0!</v>
      </c>
    </row>
    <row r="305" spans="2:13" ht="27" customHeight="1">
      <c r="B305" s="54" t="s">
        <v>334</v>
      </c>
      <c r="C305" s="10" t="s">
        <v>23</v>
      </c>
      <c r="D305" s="15" t="s">
        <v>335</v>
      </c>
      <c r="E305" s="12">
        <v>370</v>
      </c>
      <c r="F305" s="12"/>
      <c r="G305" s="12">
        <f>E305*F305</f>
        <v>0</v>
      </c>
      <c r="H305" s="12">
        <f>G305/10</f>
        <v>0</v>
      </c>
      <c r="I305" s="12">
        <f>G305+H305</f>
        <v>0</v>
      </c>
      <c r="J305" s="12">
        <v>280</v>
      </c>
      <c r="K305" s="12">
        <f>E305-J305</f>
        <v>90</v>
      </c>
      <c r="L305" s="12">
        <f>F305*K305</f>
        <v>0</v>
      </c>
      <c r="M305" s="11"/>
    </row>
    <row r="306" spans="2:13" ht="27" customHeight="1">
      <c r="B306" s="55"/>
      <c r="C306" s="10" t="s">
        <v>23</v>
      </c>
      <c r="D306" s="15" t="s">
        <v>336</v>
      </c>
      <c r="E306" s="12">
        <v>390</v>
      </c>
      <c r="F306" s="12"/>
      <c r="G306" s="12">
        <f>E306*F306</f>
        <v>0</v>
      </c>
      <c r="H306" s="12">
        <f>G306/10</f>
        <v>0</v>
      </c>
      <c r="I306" s="12">
        <f>G306+H306</f>
        <v>0</v>
      </c>
      <c r="J306" s="12">
        <v>320</v>
      </c>
      <c r="K306" s="12">
        <f>E306-J306</f>
        <v>70</v>
      </c>
      <c r="L306" s="12">
        <f>F306*K306</f>
        <v>0</v>
      </c>
      <c r="M306" s="11"/>
    </row>
    <row r="307" spans="2:13" ht="27" customHeight="1">
      <c r="B307" s="55"/>
      <c r="C307" s="10" t="s">
        <v>45</v>
      </c>
      <c r="D307" s="15" t="s">
        <v>337</v>
      </c>
      <c r="E307" s="12">
        <v>1300</v>
      </c>
      <c r="F307" s="12"/>
      <c r="G307" s="12">
        <f>E307*F307</f>
        <v>0</v>
      </c>
      <c r="H307" s="12">
        <f>G307/10</f>
        <v>0</v>
      </c>
      <c r="I307" s="12">
        <f>G307+H307</f>
        <v>0</v>
      </c>
      <c r="J307" s="12">
        <v>860</v>
      </c>
      <c r="K307" s="12">
        <f>E307-J307</f>
        <v>440</v>
      </c>
      <c r="L307" s="12">
        <f>F307*K307</f>
        <v>0</v>
      </c>
      <c r="M307" s="11"/>
    </row>
    <row r="308" spans="2:13" ht="27" customHeight="1">
      <c r="B308" s="55"/>
      <c r="C308" s="10" t="s">
        <v>45</v>
      </c>
      <c r="D308" s="15" t="s">
        <v>338</v>
      </c>
      <c r="E308" s="12">
        <v>1300</v>
      </c>
      <c r="F308" s="12"/>
      <c r="G308" s="12">
        <f>E308*F308</f>
        <v>0</v>
      </c>
      <c r="H308" s="12">
        <f>G308/10</f>
        <v>0</v>
      </c>
      <c r="I308" s="12">
        <f>G308+H308</f>
        <v>0</v>
      </c>
      <c r="J308" s="12">
        <v>860</v>
      </c>
      <c r="K308" s="12">
        <f>E308-J308</f>
        <v>440</v>
      </c>
      <c r="L308" s="12">
        <f>F308*K308</f>
        <v>0</v>
      </c>
      <c r="M308" s="11"/>
    </row>
    <row r="309" spans="2:13" ht="27" customHeight="1">
      <c r="B309" s="56"/>
      <c r="C309" s="18"/>
      <c r="D309" s="26" t="s">
        <v>156</v>
      </c>
      <c r="E309" s="21"/>
      <c r="F309" s="21"/>
      <c r="G309" s="21">
        <f>SUM(G305:G308)</f>
        <v>0</v>
      </c>
      <c r="H309" s="21">
        <f>SUM(H305:H308)</f>
        <v>0</v>
      </c>
      <c r="I309" s="21">
        <f>SUM(I305:I308)</f>
        <v>0</v>
      </c>
      <c r="J309" s="21"/>
      <c r="K309" s="21"/>
      <c r="L309" s="21">
        <f>SUM(L305:L308)</f>
        <v>0</v>
      </c>
      <c r="M309" s="26"/>
    </row>
    <row r="310" spans="2:13" ht="27" customHeight="1">
      <c r="B310" s="9" t="s">
        <v>339</v>
      </c>
      <c r="C310" s="10" t="s">
        <v>45</v>
      </c>
      <c r="D310" s="11" t="s">
        <v>340</v>
      </c>
      <c r="E310" s="12">
        <v>1300</v>
      </c>
      <c r="F310" s="12"/>
      <c r="G310" s="12">
        <f>E310*F310</f>
        <v>0</v>
      </c>
      <c r="H310" s="12">
        <f>G310*10%</f>
        <v>0</v>
      </c>
      <c r="I310" s="12">
        <f>G310+H310</f>
        <v>0</v>
      </c>
      <c r="J310" s="12">
        <v>1030</v>
      </c>
      <c r="K310" s="12">
        <v>440</v>
      </c>
      <c r="L310" s="12">
        <f>K310*F310</f>
        <v>0</v>
      </c>
      <c r="M310" s="11"/>
    </row>
    <row r="311" spans="2:13" ht="27" customHeight="1">
      <c r="B311" s="13"/>
      <c r="C311" s="10" t="s">
        <v>45</v>
      </c>
      <c r="D311" s="11" t="s">
        <v>341</v>
      </c>
      <c r="E311" s="12">
        <v>1300</v>
      </c>
      <c r="F311" s="12"/>
      <c r="G311" s="12">
        <f>E311*F311</f>
        <v>0</v>
      </c>
      <c r="H311" s="12">
        <f>G311*10%</f>
        <v>0</v>
      </c>
      <c r="I311" s="12">
        <f>G311+H311</f>
        <v>0</v>
      </c>
      <c r="J311" s="12">
        <v>1030</v>
      </c>
      <c r="K311" s="12">
        <v>440</v>
      </c>
      <c r="L311" s="12">
        <f>K311*F311</f>
        <v>0</v>
      </c>
      <c r="M311" s="11"/>
    </row>
    <row r="312" spans="2:13" ht="27" customHeight="1">
      <c r="B312" s="17"/>
      <c r="C312" s="18"/>
      <c r="D312" s="26" t="s">
        <v>156</v>
      </c>
      <c r="E312" s="21"/>
      <c r="F312" s="21"/>
      <c r="G312" s="21">
        <f>SUM(G310:G311)</f>
        <v>0</v>
      </c>
      <c r="H312" s="21">
        <f>SUM(H310:H311)</f>
        <v>0</v>
      </c>
      <c r="I312" s="21">
        <f>SUM(I310:I311)</f>
        <v>0</v>
      </c>
      <c r="J312" s="21"/>
      <c r="K312" s="21"/>
      <c r="L312" s="21">
        <f>SUM(L310:L311)</f>
        <v>0</v>
      </c>
      <c r="M312" s="26"/>
    </row>
    <row r="313" spans="2:13" ht="27" customHeight="1">
      <c r="B313" s="9" t="s">
        <v>342</v>
      </c>
      <c r="C313" s="10" t="s">
        <v>23</v>
      </c>
      <c r="D313" s="11" t="s">
        <v>343</v>
      </c>
      <c r="E313" s="12">
        <v>370</v>
      </c>
      <c r="F313" s="12"/>
      <c r="G313" s="12">
        <f>E313*F313</f>
        <v>0</v>
      </c>
      <c r="H313" s="12">
        <f>G313/10</f>
        <v>0</v>
      </c>
      <c r="I313" s="12">
        <f>G313+H313</f>
        <v>0</v>
      </c>
      <c r="J313" s="12">
        <v>300</v>
      </c>
      <c r="K313" s="12">
        <f>E313-J313</f>
        <v>70</v>
      </c>
      <c r="L313" s="12">
        <f>F313*K313</f>
        <v>0</v>
      </c>
      <c r="M313" s="50"/>
    </row>
    <row r="314" spans="2:13" ht="27" customHeight="1">
      <c r="B314" s="13"/>
      <c r="C314" s="10"/>
      <c r="D314" s="11"/>
      <c r="E314" s="12"/>
      <c r="F314" s="12"/>
      <c r="G314" s="12">
        <f>E314*F314</f>
        <v>0</v>
      </c>
      <c r="H314" s="12">
        <f>G314/10</f>
        <v>0</v>
      </c>
      <c r="I314" s="12">
        <f>G314+H314</f>
        <v>0</v>
      </c>
      <c r="J314" s="12">
        <v>766</v>
      </c>
      <c r="K314" s="12">
        <f>E314-J314</f>
        <v>-766</v>
      </c>
      <c r="L314" s="12">
        <f>F314*K314</f>
        <v>0</v>
      </c>
      <c r="M314" s="11"/>
    </row>
    <row r="315" spans="2:13" ht="27" customHeight="1">
      <c r="B315" s="17"/>
      <c r="C315" s="18"/>
      <c r="D315" s="26" t="s">
        <v>27</v>
      </c>
      <c r="E315" s="21"/>
      <c r="F315" s="21"/>
      <c r="G315" s="21">
        <f>SUM(G313:G314)</f>
        <v>0</v>
      </c>
      <c r="H315" s="21">
        <f>SUM(H313:H314)</f>
        <v>0</v>
      </c>
      <c r="I315" s="21">
        <f>SUM(I313:I314)</f>
        <v>0</v>
      </c>
      <c r="J315" s="21"/>
      <c r="K315" s="21"/>
      <c r="L315" s="21">
        <f>SUM(L313:L314)</f>
        <v>0</v>
      </c>
      <c r="M315" s="26"/>
    </row>
    <row r="316" spans="2:13" ht="27" customHeight="1">
      <c r="B316" s="9" t="s">
        <v>344</v>
      </c>
      <c r="C316" s="10" t="s">
        <v>23</v>
      </c>
      <c r="D316" s="11" t="s">
        <v>345</v>
      </c>
      <c r="E316" s="12">
        <v>370</v>
      </c>
      <c r="F316" s="12"/>
      <c r="G316" s="12">
        <f>E316*F316</f>
        <v>0</v>
      </c>
      <c r="H316" s="12">
        <f t="shared" ref="H316:H328" si="78">G316/10</f>
        <v>0</v>
      </c>
      <c r="I316" s="12">
        <f t="shared" ref="I316:I328" si="79">G316+H316</f>
        <v>0</v>
      </c>
      <c r="J316" s="12">
        <v>300</v>
      </c>
      <c r="K316" s="12">
        <f>E316-J316</f>
        <v>70</v>
      </c>
      <c r="L316" s="12">
        <f>F316*K316</f>
        <v>0</v>
      </c>
      <c r="M316" s="50"/>
    </row>
    <row r="317" spans="2:13" ht="27" customHeight="1">
      <c r="B317" s="13"/>
      <c r="C317" s="10" t="s">
        <v>23</v>
      </c>
      <c r="D317" s="11" t="s">
        <v>246</v>
      </c>
      <c r="E317" s="12">
        <v>370</v>
      </c>
      <c r="F317" s="12"/>
      <c r="G317" s="12">
        <f>E317*F317</f>
        <v>0</v>
      </c>
      <c r="H317" s="12">
        <f t="shared" si="78"/>
        <v>0</v>
      </c>
      <c r="I317" s="12">
        <f t="shared" si="79"/>
        <v>0</v>
      </c>
      <c r="J317" s="12">
        <v>280</v>
      </c>
      <c r="K317" s="12">
        <f>E317-J317</f>
        <v>90</v>
      </c>
      <c r="L317" s="12">
        <f>F317*K317</f>
        <v>0</v>
      </c>
      <c r="M317" s="50"/>
    </row>
    <row r="318" spans="2:13" ht="27" customHeight="1">
      <c r="B318" s="13"/>
      <c r="C318" s="10" t="s">
        <v>45</v>
      </c>
      <c r="D318" s="11" t="s">
        <v>346</v>
      </c>
      <c r="E318" s="12">
        <v>1400</v>
      </c>
      <c r="F318" s="12"/>
      <c r="G318" s="12">
        <f>E318*F318</f>
        <v>0</v>
      </c>
      <c r="H318" s="12">
        <f t="shared" si="78"/>
        <v>0</v>
      </c>
      <c r="I318" s="12">
        <f t="shared" si="79"/>
        <v>0</v>
      </c>
      <c r="J318" s="12">
        <v>860</v>
      </c>
      <c r="K318" s="12">
        <f>E318-J318</f>
        <v>540</v>
      </c>
      <c r="L318" s="12">
        <f>F318*K318</f>
        <v>0</v>
      </c>
      <c r="M318" s="11"/>
    </row>
    <row r="319" spans="2:13" ht="27" customHeight="1">
      <c r="B319" s="17"/>
      <c r="C319" s="18"/>
      <c r="D319" s="26" t="s">
        <v>156</v>
      </c>
      <c r="E319" s="21"/>
      <c r="F319" s="21"/>
      <c r="G319" s="21">
        <f>SUM(G316:G318)</f>
        <v>0</v>
      </c>
      <c r="H319" s="21">
        <f t="shared" si="78"/>
        <v>0</v>
      </c>
      <c r="I319" s="21">
        <f t="shared" si="79"/>
        <v>0</v>
      </c>
      <c r="J319" s="21"/>
      <c r="K319" s="21"/>
      <c r="L319" s="21">
        <f>SUM(L316:L318)</f>
        <v>0</v>
      </c>
      <c r="M319" s="26"/>
    </row>
    <row r="320" spans="2:13" ht="27" customHeight="1">
      <c r="B320" s="9" t="s">
        <v>347</v>
      </c>
      <c r="C320" s="10" t="s">
        <v>17</v>
      </c>
      <c r="D320" s="11" t="s">
        <v>348</v>
      </c>
      <c r="E320" s="12">
        <v>8500</v>
      </c>
      <c r="F320" s="12"/>
      <c r="G320" s="12">
        <f>E320*F320</f>
        <v>0</v>
      </c>
      <c r="H320" s="12">
        <f t="shared" si="78"/>
        <v>0</v>
      </c>
      <c r="I320" s="12">
        <f t="shared" si="79"/>
        <v>0</v>
      </c>
      <c r="J320" s="12">
        <v>7112</v>
      </c>
      <c r="K320" s="12">
        <f>E320-J320</f>
        <v>1388</v>
      </c>
      <c r="L320" s="12">
        <f>F320*K320</f>
        <v>0</v>
      </c>
      <c r="M320" s="11"/>
    </row>
    <row r="321" spans="2:13" ht="27" customHeight="1">
      <c r="B321" s="13"/>
      <c r="C321" s="10" t="s">
        <v>23</v>
      </c>
      <c r="D321" s="11" t="s">
        <v>349</v>
      </c>
      <c r="E321" s="12">
        <v>340</v>
      </c>
      <c r="F321" s="12"/>
      <c r="G321" s="12">
        <f>E321*F321</f>
        <v>0</v>
      </c>
      <c r="H321" s="12">
        <f t="shared" si="78"/>
        <v>0</v>
      </c>
      <c r="I321" s="12">
        <f t="shared" si="79"/>
        <v>0</v>
      </c>
      <c r="J321" s="12">
        <v>270</v>
      </c>
      <c r="K321" s="12">
        <f>E321-J321</f>
        <v>70</v>
      </c>
      <c r="L321" s="12">
        <f>F321*K321</f>
        <v>0</v>
      </c>
      <c r="M321" s="11"/>
    </row>
    <row r="322" spans="2:13" ht="27" customHeight="1">
      <c r="B322" s="13"/>
      <c r="C322" s="10" t="s">
        <v>14</v>
      </c>
      <c r="D322" s="11" t="s">
        <v>350</v>
      </c>
      <c r="E322" s="12">
        <v>11500</v>
      </c>
      <c r="F322" s="12"/>
      <c r="G322" s="12">
        <f>E322*F322</f>
        <v>0</v>
      </c>
      <c r="H322" s="12">
        <f t="shared" si="78"/>
        <v>0</v>
      </c>
      <c r="I322" s="12">
        <f t="shared" si="79"/>
        <v>0</v>
      </c>
      <c r="J322" s="12">
        <v>7000</v>
      </c>
      <c r="K322" s="12">
        <f>E322-J322</f>
        <v>4500</v>
      </c>
      <c r="L322" s="12">
        <f>F322*K322</f>
        <v>0</v>
      </c>
      <c r="M322" s="11"/>
    </row>
    <row r="323" spans="2:13" ht="27" customHeight="1">
      <c r="B323" s="13"/>
      <c r="C323" s="10" t="s">
        <v>14</v>
      </c>
      <c r="D323" s="11" t="s">
        <v>351</v>
      </c>
      <c r="E323" s="12">
        <v>10200</v>
      </c>
      <c r="F323" s="12"/>
      <c r="G323" s="12">
        <f>E323*F323</f>
        <v>0</v>
      </c>
      <c r="H323" s="12">
        <f t="shared" si="78"/>
        <v>0</v>
      </c>
      <c r="I323" s="12">
        <f t="shared" si="79"/>
        <v>0</v>
      </c>
      <c r="J323" s="12">
        <v>7800</v>
      </c>
      <c r="K323" s="12">
        <f>E323-J323</f>
        <v>2400</v>
      </c>
      <c r="L323" s="12">
        <f>F323*K323</f>
        <v>0</v>
      </c>
      <c r="M323" s="11" t="s">
        <v>352</v>
      </c>
    </row>
    <row r="324" spans="2:13" ht="27" customHeight="1">
      <c r="B324" s="13"/>
      <c r="C324" s="10" t="s">
        <v>99</v>
      </c>
      <c r="D324" s="11" t="s">
        <v>353</v>
      </c>
      <c r="E324" s="12">
        <v>175000</v>
      </c>
      <c r="F324" s="12"/>
      <c r="G324" s="12">
        <f>E324*F324</f>
        <v>0</v>
      </c>
      <c r="H324" s="12">
        <f t="shared" si="78"/>
        <v>0</v>
      </c>
      <c r="I324" s="12">
        <f t="shared" si="79"/>
        <v>0</v>
      </c>
      <c r="J324" s="12">
        <v>173000</v>
      </c>
      <c r="K324" s="12">
        <f>E324-J324</f>
        <v>2000</v>
      </c>
      <c r="L324" s="12">
        <f>F324*K324</f>
        <v>0</v>
      </c>
      <c r="M324" s="11"/>
    </row>
    <row r="325" spans="2:13" ht="27" customHeight="1">
      <c r="B325" s="17"/>
      <c r="C325" s="18"/>
      <c r="D325" s="26" t="s">
        <v>156</v>
      </c>
      <c r="E325" s="21"/>
      <c r="F325" s="21"/>
      <c r="G325" s="21">
        <f>SUM(G320:G324)</f>
        <v>0</v>
      </c>
      <c r="H325" s="21">
        <f t="shared" si="78"/>
        <v>0</v>
      </c>
      <c r="I325" s="21">
        <f t="shared" si="79"/>
        <v>0</v>
      </c>
      <c r="J325" s="21"/>
      <c r="K325" s="21"/>
      <c r="L325" s="21">
        <f>SUM(L320:L324)</f>
        <v>0</v>
      </c>
      <c r="M325" s="26"/>
    </row>
    <row r="326" spans="2:13" ht="27" customHeight="1">
      <c r="B326" s="60" t="s">
        <v>354</v>
      </c>
      <c r="C326" s="10" t="s">
        <v>17</v>
      </c>
      <c r="D326" s="11" t="s">
        <v>355</v>
      </c>
      <c r="E326" s="12">
        <v>7500</v>
      </c>
      <c r="F326" s="12"/>
      <c r="G326" s="12">
        <f>E326*F326</f>
        <v>0</v>
      </c>
      <c r="H326" s="12">
        <f t="shared" si="78"/>
        <v>0</v>
      </c>
      <c r="I326" s="12">
        <f t="shared" si="79"/>
        <v>0</v>
      </c>
      <c r="J326" s="12">
        <v>6552</v>
      </c>
      <c r="K326" s="12">
        <f>E326-J326</f>
        <v>948</v>
      </c>
      <c r="L326" s="12">
        <f>F326*K326</f>
        <v>0</v>
      </c>
      <c r="M326" s="11" t="s">
        <v>352</v>
      </c>
    </row>
    <row r="327" spans="2:13" ht="27" customHeight="1">
      <c r="B327" s="61"/>
      <c r="C327" s="10" t="s">
        <v>17</v>
      </c>
      <c r="D327" s="24" t="s">
        <v>356</v>
      </c>
      <c r="E327" s="12">
        <v>9300</v>
      </c>
      <c r="F327" s="25"/>
      <c r="G327" s="12">
        <f>E327*F327</f>
        <v>0</v>
      </c>
      <c r="H327" s="12">
        <f t="shared" si="78"/>
        <v>0</v>
      </c>
      <c r="I327" s="12">
        <f t="shared" si="79"/>
        <v>0</v>
      </c>
      <c r="J327" s="12">
        <v>8300</v>
      </c>
      <c r="K327" s="12">
        <f>E327-J327</f>
        <v>1000</v>
      </c>
      <c r="L327" s="12">
        <f>F327*K327</f>
        <v>0</v>
      </c>
      <c r="M327" s="24" t="s">
        <v>357</v>
      </c>
    </row>
    <row r="328" spans="2:13" ht="27" customHeight="1">
      <c r="B328" s="61"/>
      <c r="C328" s="10" t="s">
        <v>23</v>
      </c>
      <c r="D328" s="24" t="s">
        <v>358</v>
      </c>
      <c r="E328" s="12">
        <v>540</v>
      </c>
      <c r="F328" s="25"/>
      <c r="G328" s="12">
        <f>E328*F328</f>
        <v>0</v>
      </c>
      <c r="H328" s="12">
        <f t="shared" si="78"/>
        <v>0</v>
      </c>
      <c r="I328" s="12">
        <f t="shared" si="79"/>
        <v>0</v>
      </c>
      <c r="J328" s="12">
        <v>486</v>
      </c>
      <c r="K328" s="12">
        <f>E328-J328</f>
        <v>54</v>
      </c>
      <c r="L328" s="12">
        <f>F328*K328</f>
        <v>0</v>
      </c>
      <c r="M328" s="24" t="s">
        <v>359</v>
      </c>
    </row>
    <row r="329" spans="2:13" ht="27" customHeight="1">
      <c r="B329" s="61"/>
      <c r="C329" s="10" t="s">
        <v>99</v>
      </c>
      <c r="D329" s="24" t="s">
        <v>360</v>
      </c>
      <c r="E329" s="12">
        <v>1800000</v>
      </c>
      <c r="F329" s="25"/>
      <c r="G329" s="12"/>
      <c r="H329" s="12"/>
      <c r="I329" s="12"/>
      <c r="J329" s="12"/>
      <c r="K329" s="12"/>
      <c r="L329" s="12"/>
      <c r="M329" s="24"/>
    </row>
    <row r="330" spans="2:13" ht="27" customHeight="1">
      <c r="B330" s="61"/>
      <c r="C330" s="10" t="s">
        <v>23</v>
      </c>
      <c r="D330" s="24" t="s">
        <v>361</v>
      </c>
      <c r="E330" s="12">
        <v>650</v>
      </c>
      <c r="F330" s="25"/>
      <c r="G330" s="12">
        <f t="shared" ref="G330:G337" si="80">E330*F330</f>
        <v>0</v>
      </c>
      <c r="H330" s="12">
        <f t="shared" ref="H330:H365" si="81">G330/10</f>
        <v>0</v>
      </c>
      <c r="I330" s="12">
        <f t="shared" ref="I330:I371" si="82">G330+H330</f>
        <v>0</v>
      </c>
      <c r="J330" s="12">
        <v>618</v>
      </c>
      <c r="K330" s="12">
        <f t="shared" ref="K330:K337" si="83">E330-J330</f>
        <v>32</v>
      </c>
      <c r="L330" s="12">
        <f t="shared" ref="L330:L337" si="84">F330*K330</f>
        <v>0</v>
      </c>
      <c r="M330" s="24" t="s">
        <v>362</v>
      </c>
    </row>
    <row r="331" spans="2:13" ht="27" customHeight="1">
      <c r="B331" s="61"/>
      <c r="C331" s="10" t="s">
        <v>99</v>
      </c>
      <c r="D331" s="24" t="s">
        <v>363</v>
      </c>
      <c r="E331" s="12">
        <v>350000</v>
      </c>
      <c r="F331" s="25"/>
      <c r="G331" s="12">
        <f t="shared" si="80"/>
        <v>0</v>
      </c>
      <c r="H331" s="12">
        <f t="shared" si="81"/>
        <v>0</v>
      </c>
      <c r="I331" s="12">
        <f t="shared" si="82"/>
        <v>0</v>
      </c>
      <c r="J331" s="12">
        <v>300000</v>
      </c>
      <c r="K331" s="12">
        <f t="shared" si="83"/>
        <v>50000</v>
      </c>
      <c r="L331" s="12">
        <f t="shared" si="84"/>
        <v>0</v>
      </c>
      <c r="M331" s="24"/>
    </row>
    <row r="332" spans="2:13" ht="27" customHeight="1">
      <c r="B332" s="61"/>
      <c r="C332" s="10" t="s">
        <v>23</v>
      </c>
      <c r="D332" s="24" t="s">
        <v>364</v>
      </c>
      <c r="E332" s="12">
        <v>680</v>
      </c>
      <c r="F332" s="25"/>
      <c r="G332" s="12">
        <f t="shared" si="80"/>
        <v>0</v>
      </c>
      <c r="H332" s="12">
        <f t="shared" si="81"/>
        <v>0</v>
      </c>
      <c r="I332" s="12">
        <f t="shared" si="82"/>
        <v>0</v>
      </c>
      <c r="J332" s="12">
        <v>657</v>
      </c>
      <c r="K332" s="12">
        <f t="shared" si="83"/>
        <v>23</v>
      </c>
      <c r="L332" s="12">
        <f t="shared" si="84"/>
        <v>0</v>
      </c>
      <c r="M332" s="24" t="s">
        <v>365</v>
      </c>
    </row>
    <row r="333" spans="2:13" ht="27" customHeight="1">
      <c r="B333" s="61"/>
      <c r="C333" s="10" t="s">
        <v>99</v>
      </c>
      <c r="D333" s="24" t="s">
        <v>363</v>
      </c>
      <c r="E333" s="12">
        <v>350000</v>
      </c>
      <c r="F333" s="25"/>
      <c r="G333" s="12">
        <f t="shared" si="80"/>
        <v>0</v>
      </c>
      <c r="H333" s="12">
        <f t="shared" si="81"/>
        <v>0</v>
      </c>
      <c r="I333" s="12">
        <f t="shared" si="82"/>
        <v>0</v>
      </c>
      <c r="J333" s="12">
        <v>300000</v>
      </c>
      <c r="K333" s="12">
        <f t="shared" si="83"/>
        <v>50000</v>
      </c>
      <c r="L333" s="12">
        <f t="shared" si="84"/>
        <v>0</v>
      </c>
      <c r="M333" s="24"/>
    </row>
    <row r="334" spans="2:13" ht="27" customHeight="1">
      <c r="B334" s="61"/>
      <c r="C334" s="10" t="s">
        <v>23</v>
      </c>
      <c r="D334" s="24" t="s">
        <v>366</v>
      </c>
      <c r="E334" s="12">
        <v>570</v>
      </c>
      <c r="F334" s="25"/>
      <c r="G334" s="12">
        <f t="shared" si="80"/>
        <v>0</v>
      </c>
      <c r="H334" s="12">
        <f t="shared" si="81"/>
        <v>0</v>
      </c>
      <c r="I334" s="12">
        <f t="shared" si="82"/>
        <v>0</v>
      </c>
      <c r="J334" s="12">
        <v>475</v>
      </c>
      <c r="K334" s="12">
        <f t="shared" si="83"/>
        <v>95</v>
      </c>
      <c r="L334" s="12">
        <f t="shared" si="84"/>
        <v>0</v>
      </c>
      <c r="M334" s="24" t="s">
        <v>367</v>
      </c>
    </row>
    <row r="335" spans="2:13" ht="27" customHeight="1">
      <c r="B335" s="61"/>
      <c r="C335" s="10" t="s">
        <v>99</v>
      </c>
      <c r="D335" s="24" t="s">
        <v>363</v>
      </c>
      <c r="E335" s="12">
        <v>300000</v>
      </c>
      <c r="F335" s="25"/>
      <c r="G335" s="12">
        <f t="shared" si="80"/>
        <v>0</v>
      </c>
      <c r="H335" s="12">
        <f t="shared" si="81"/>
        <v>0</v>
      </c>
      <c r="I335" s="12">
        <f t="shared" si="82"/>
        <v>0</v>
      </c>
      <c r="J335" s="12">
        <v>150000</v>
      </c>
      <c r="K335" s="12">
        <f t="shared" si="83"/>
        <v>150000</v>
      </c>
      <c r="L335" s="12">
        <f t="shared" si="84"/>
        <v>0</v>
      </c>
      <c r="M335" s="24"/>
    </row>
    <row r="336" spans="2:13" ht="27" customHeight="1">
      <c r="B336" s="61"/>
      <c r="C336" s="10" t="s">
        <v>23</v>
      </c>
      <c r="D336" s="24" t="s">
        <v>368</v>
      </c>
      <c r="E336" s="12">
        <v>326</v>
      </c>
      <c r="F336" s="25"/>
      <c r="G336" s="12">
        <f t="shared" si="80"/>
        <v>0</v>
      </c>
      <c r="H336" s="12">
        <f t="shared" si="81"/>
        <v>0</v>
      </c>
      <c r="I336" s="12">
        <f t="shared" si="82"/>
        <v>0</v>
      </c>
      <c r="J336" s="12">
        <v>306</v>
      </c>
      <c r="K336" s="12">
        <f t="shared" si="83"/>
        <v>20</v>
      </c>
      <c r="L336" s="12">
        <f t="shared" si="84"/>
        <v>0</v>
      </c>
      <c r="M336" s="24" t="s">
        <v>369</v>
      </c>
    </row>
    <row r="337" spans="2:13" ht="27" customHeight="1">
      <c r="B337" s="61"/>
      <c r="C337" s="10" t="s">
        <v>23</v>
      </c>
      <c r="D337" s="24" t="s">
        <v>370</v>
      </c>
      <c r="E337" s="12">
        <v>350</v>
      </c>
      <c r="F337" s="25"/>
      <c r="G337" s="12">
        <f t="shared" si="80"/>
        <v>0</v>
      </c>
      <c r="H337" s="12">
        <f t="shared" si="81"/>
        <v>0</v>
      </c>
      <c r="I337" s="12">
        <f t="shared" si="82"/>
        <v>0</v>
      </c>
      <c r="J337" s="12">
        <v>320</v>
      </c>
      <c r="K337" s="12">
        <f t="shared" si="83"/>
        <v>30</v>
      </c>
      <c r="L337" s="12">
        <f t="shared" si="84"/>
        <v>0</v>
      </c>
      <c r="M337" s="24" t="s">
        <v>369</v>
      </c>
    </row>
    <row r="338" spans="2:13" ht="27" customHeight="1">
      <c r="B338" s="62"/>
      <c r="C338" s="18"/>
      <c r="D338" s="26" t="s">
        <v>156</v>
      </c>
      <c r="E338" s="21"/>
      <c r="F338" s="21"/>
      <c r="G338" s="21">
        <f>SUM(G326:G337)</f>
        <v>0</v>
      </c>
      <c r="H338" s="21">
        <f t="shared" si="81"/>
        <v>0</v>
      </c>
      <c r="I338" s="21">
        <f t="shared" si="82"/>
        <v>0</v>
      </c>
      <c r="J338" s="21"/>
      <c r="K338" s="21"/>
      <c r="L338" s="21">
        <f>SUM(L326:L337)</f>
        <v>0</v>
      </c>
      <c r="M338" s="26"/>
    </row>
    <row r="339" spans="2:13" ht="27" customHeight="1">
      <c r="B339" s="27" t="s">
        <v>371</v>
      </c>
      <c r="C339" s="10" t="s">
        <v>17</v>
      </c>
      <c r="D339" s="24" t="s">
        <v>356</v>
      </c>
      <c r="E339" s="12">
        <v>9300</v>
      </c>
      <c r="F339" s="25"/>
      <c r="G339" s="12">
        <f>E339*F339</f>
        <v>0</v>
      </c>
      <c r="H339" s="12">
        <f t="shared" si="81"/>
        <v>0</v>
      </c>
      <c r="I339" s="12">
        <f t="shared" si="82"/>
        <v>0</v>
      </c>
      <c r="J339" s="12">
        <v>8300</v>
      </c>
      <c r="K339" s="12">
        <f t="shared" ref="K339:K348" si="85">E339-J339</f>
        <v>1000</v>
      </c>
      <c r="L339" s="12">
        <f>F339*K339</f>
        <v>0</v>
      </c>
      <c r="M339" s="24" t="s">
        <v>357</v>
      </c>
    </row>
    <row r="340" spans="2:13" ht="26.25" customHeight="1">
      <c r="B340" s="30"/>
      <c r="C340" s="10" t="s">
        <v>372</v>
      </c>
      <c r="D340" s="24" t="s">
        <v>373</v>
      </c>
      <c r="E340" s="25">
        <v>230</v>
      </c>
      <c r="G340" s="12">
        <f>E340*F340</f>
        <v>0</v>
      </c>
      <c r="H340" s="12">
        <f t="shared" si="81"/>
        <v>0</v>
      </c>
      <c r="I340" s="12">
        <f t="shared" si="82"/>
        <v>0</v>
      </c>
      <c r="J340" s="25">
        <v>176</v>
      </c>
      <c r="K340" s="12">
        <f t="shared" si="85"/>
        <v>54</v>
      </c>
      <c r="L340" s="12">
        <f>F340*K340</f>
        <v>0</v>
      </c>
      <c r="M340" s="24" t="s">
        <v>374</v>
      </c>
    </row>
    <row r="341" spans="2:13" ht="27" customHeight="1">
      <c r="B341" s="30"/>
      <c r="C341" s="10" t="s">
        <v>372</v>
      </c>
      <c r="D341" s="24" t="s">
        <v>375</v>
      </c>
      <c r="E341" s="25">
        <v>200</v>
      </c>
      <c r="F341" s="25"/>
      <c r="G341" s="12">
        <f t="shared" ref="G341:G348" si="86">E341*F341</f>
        <v>0</v>
      </c>
      <c r="H341" s="12">
        <f t="shared" si="81"/>
        <v>0</v>
      </c>
      <c r="I341" s="12">
        <f t="shared" si="82"/>
        <v>0</v>
      </c>
      <c r="J341" s="25">
        <v>150</v>
      </c>
      <c r="K341" s="12">
        <f t="shared" si="85"/>
        <v>50</v>
      </c>
      <c r="L341" s="12">
        <f t="shared" ref="L341:L348" si="87">F341*K341</f>
        <v>0</v>
      </c>
      <c r="M341" s="24" t="s">
        <v>376</v>
      </c>
    </row>
    <row r="342" spans="2:13" ht="27" customHeight="1">
      <c r="B342" s="30"/>
      <c r="C342" s="10" t="s">
        <v>372</v>
      </c>
      <c r="D342" s="24" t="s">
        <v>377</v>
      </c>
      <c r="E342" s="25">
        <v>230</v>
      </c>
      <c r="F342" s="25"/>
      <c r="G342" s="12">
        <f t="shared" si="86"/>
        <v>0</v>
      </c>
      <c r="H342" s="12">
        <f t="shared" si="81"/>
        <v>0</v>
      </c>
      <c r="I342" s="12">
        <f t="shared" si="82"/>
        <v>0</v>
      </c>
      <c r="J342" s="25">
        <v>183</v>
      </c>
      <c r="K342" s="12">
        <f t="shared" si="85"/>
        <v>47</v>
      </c>
      <c r="L342" s="12">
        <f t="shared" si="87"/>
        <v>0</v>
      </c>
      <c r="M342" s="24" t="s">
        <v>374</v>
      </c>
    </row>
    <row r="343" spans="2:13" ht="27" customHeight="1">
      <c r="B343" s="30"/>
      <c r="C343" s="10" t="s">
        <v>99</v>
      </c>
      <c r="D343" s="24" t="s">
        <v>378</v>
      </c>
      <c r="E343" s="25">
        <v>300000</v>
      </c>
      <c r="F343" s="25"/>
      <c r="G343" s="12">
        <f t="shared" si="86"/>
        <v>0</v>
      </c>
      <c r="H343" s="12">
        <f t="shared" si="81"/>
        <v>0</v>
      </c>
      <c r="I343" s="12">
        <f t="shared" si="82"/>
        <v>0</v>
      </c>
      <c r="J343" s="25">
        <v>300000</v>
      </c>
      <c r="K343" s="12">
        <f t="shared" si="85"/>
        <v>0</v>
      </c>
      <c r="L343" s="12">
        <f t="shared" si="87"/>
        <v>0</v>
      </c>
      <c r="M343" s="24"/>
    </row>
    <row r="344" spans="2:13" ht="27" customHeight="1">
      <c r="B344" s="30"/>
      <c r="C344" s="10" t="s">
        <v>99</v>
      </c>
      <c r="D344" s="24" t="s">
        <v>379</v>
      </c>
      <c r="E344" s="25">
        <v>190000</v>
      </c>
      <c r="F344" s="25"/>
      <c r="G344" s="12">
        <f t="shared" si="86"/>
        <v>0</v>
      </c>
      <c r="H344" s="12">
        <f t="shared" si="81"/>
        <v>0</v>
      </c>
      <c r="I344" s="12">
        <f t="shared" si="82"/>
        <v>0</v>
      </c>
      <c r="J344" s="25">
        <v>180000</v>
      </c>
      <c r="K344" s="12">
        <f t="shared" si="85"/>
        <v>10000</v>
      </c>
      <c r="L344" s="12">
        <f t="shared" si="87"/>
        <v>0</v>
      </c>
      <c r="M344" s="24"/>
    </row>
    <row r="345" spans="2:13" ht="27" customHeight="1">
      <c r="B345" s="30"/>
      <c r="C345" s="10" t="s">
        <v>372</v>
      </c>
      <c r="D345" s="24" t="s">
        <v>380</v>
      </c>
      <c r="E345" s="25">
        <v>2400</v>
      </c>
      <c r="F345" s="12"/>
      <c r="G345" s="12">
        <f t="shared" si="86"/>
        <v>0</v>
      </c>
      <c r="H345" s="12">
        <f t="shared" si="81"/>
        <v>0</v>
      </c>
      <c r="I345" s="12">
        <f t="shared" si="82"/>
        <v>0</v>
      </c>
      <c r="J345" s="25">
        <v>1880</v>
      </c>
      <c r="K345" s="12">
        <f t="shared" si="85"/>
        <v>520</v>
      </c>
      <c r="L345" s="12">
        <f t="shared" si="87"/>
        <v>0</v>
      </c>
      <c r="M345" s="24" t="s">
        <v>381</v>
      </c>
    </row>
    <row r="346" spans="2:13" ht="27" customHeight="1">
      <c r="B346" s="30"/>
      <c r="C346" s="10" t="s">
        <v>99</v>
      </c>
      <c r="D346" s="24" t="s">
        <v>382</v>
      </c>
      <c r="E346" s="25">
        <v>500000</v>
      </c>
      <c r="F346" s="12"/>
      <c r="G346" s="12">
        <f t="shared" si="86"/>
        <v>0</v>
      </c>
      <c r="H346" s="12">
        <f t="shared" si="81"/>
        <v>0</v>
      </c>
      <c r="I346" s="12">
        <f t="shared" si="82"/>
        <v>0</v>
      </c>
      <c r="J346" s="25">
        <v>500000</v>
      </c>
      <c r="K346" s="12">
        <f t="shared" si="85"/>
        <v>0</v>
      </c>
      <c r="L346" s="12">
        <f t="shared" si="87"/>
        <v>0</v>
      </c>
      <c r="M346" s="24"/>
    </row>
    <row r="347" spans="2:13" ht="27" customHeight="1">
      <c r="B347" s="30"/>
      <c r="C347" s="10" t="s">
        <v>99</v>
      </c>
      <c r="D347" s="24" t="s">
        <v>383</v>
      </c>
      <c r="E347" s="25">
        <v>200000</v>
      </c>
      <c r="F347" s="12"/>
      <c r="G347" s="12">
        <f t="shared" si="86"/>
        <v>0</v>
      </c>
      <c r="H347" s="12">
        <f t="shared" si="81"/>
        <v>0</v>
      </c>
      <c r="I347" s="12">
        <f t="shared" si="82"/>
        <v>0</v>
      </c>
      <c r="J347" s="25">
        <v>200000</v>
      </c>
      <c r="K347" s="12">
        <f t="shared" si="85"/>
        <v>0</v>
      </c>
      <c r="L347" s="12">
        <f t="shared" si="87"/>
        <v>0</v>
      </c>
      <c r="M347" s="24"/>
    </row>
    <row r="348" spans="2:13" ht="27" customHeight="1">
      <c r="B348" s="30"/>
      <c r="C348" s="10" t="s">
        <v>45</v>
      </c>
      <c r="D348" s="24" t="s">
        <v>384</v>
      </c>
      <c r="E348" s="25">
        <v>85</v>
      </c>
      <c r="F348" s="12"/>
      <c r="G348" s="12">
        <f t="shared" si="86"/>
        <v>0</v>
      </c>
      <c r="H348" s="12">
        <f t="shared" si="81"/>
        <v>0</v>
      </c>
      <c r="I348" s="12">
        <f t="shared" si="82"/>
        <v>0</v>
      </c>
      <c r="J348" s="12">
        <v>58</v>
      </c>
      <c r="K348" s="12">
        <f t="shared" si="85"/>
        <v>27</v>
      </c>
      <c r="L348" s="12">
        <f t="shared" si="87"/>
        <v>0</v>
      </c>
      <c r="M348" s="24" t="s">
        <v>385</v>
      </c>
    </row>
    <row r="349" spans="2:13" ht="27" customHeight="1">
      <c r="B349" s="38"/>
      <c r="C349" s="18"/>
      <c r="D349" s="26" t="s">
        <v>156</v>
      </c>
      <c r="E349" s="21"/>
      <c r="F349" s="21"/>
      <c r="G349" s="21">
        <f>SUM(G339:G348)</f>
        <v>0</v>
      </c>
      <c r="H349" s="21">
        <f>SUM(H339:H348)</f>
        <v>0</v>
      </c>
      <c r="I349" s="21">
        <f>SUM(I339:I348)</f>
        <v>0</v>
      </c>
      <c r="J349" s="21"/>
      <c r="K349" s="21"/>
      <c r="L349" s="21">
        <f>SUM(L339:L348)</f>
        <v>0</v>
      </c>
      <c r="M349" s="21">
        <f>SUM(M339:M348)</f>
        <v>0</v>
      </c>
    </row>
    <row r="350" spans="2:13" ht="27" customHeight="1">
      <c r="B350" s="27" t="s">
        <v>386</v>
      </c>
      <c r="C350" s="10" t="s">
        <v>17</v>
      </c>
      <c r="D350" s="24" t="s">
        <v>387</v>
      </c>
      <c r="E350" s="12">
        <v>9300</v>
      </c>
      <c r="F350" s="25"/>
      <c r="G350" s="12">
        <f>E350*F350</f>
        <v>0</v>
      </c>
      <c r="H350" s="12">
        <f t="shared" si="81"/>
        <v>0</v>
      </c>
      <c r="I350" s="12">
        <f t="shared" si="82"/>
        <v>0</v>
      </c>
      <c r="J350" s="12">
        <v>8300</v>
      </c>
      <c r="K350" s="12">
        <f>E350-J350</f>
        <v>1000</v>
      </c>
      <c r="L350" s="12">
        <f>F350*K350</f>
        <v>0</v>
      </c>
      <c r="M350" s="24" t="s">
        <v>357</v>
      </c>
    </row>
    <row r="351" spans="2:13" ht="27" customHeight="1">
      <c r="B351" s="30"/>
      <c r="C351" s="10"/>
      <c r="D351" s="24"/>
      <c r="E351" s="25"/>
      <c r="F351" s="25"/>
      <c r="G351" s="12">
        <f>E351*F351</f>
        <v>0</v>
      </c>
      <c r="H351" s="12">
        <f t="shared" si="81"/>
        <v>0</v>
      </c>
      <c r="I351" s="12">
        <f t="shared" si="82"/>
        <v>0</v>
      </c>
      <c r="J351" s="25"/>
      <c r="K351" s="12">
        <f>E351-J351</f>
        <v>0</v>
      </c>
      <c r="L351" s="12">
        <f>F351*K351</f>
        <v>0</v>
      </c>
      <c r="M351" s="24"/>
    </row>
    <row r="352" spans="2:13" ht="27" customHeight="1">
      <c r="B352" s="38"/>
      <c r="C352" s="18"/>
      <c r="D352" s="26" t="s">
        <v>156</v>
      </c>
      <c r="E352" s="21"/>
      <c r="F352" s="21"/>
      <c r="G352" s="21">
        <f>SUM(G350:G351)</f>
        <v>0</v>
      </c>
      <c r="H352" s="21">
        <f t="shared" si="81"/>
        <v>0</v>
      </c>
      <c r="I352" s="21">
        <f t="shared" si="82"/>
        <v>0</v>
      </c>
      <c r="J352" s="21"/>
      <c r="K352" s="21"/>
      <c r="L352" s="21">
        <f>SUM(L350:L351)</f>
        <v>0</v>
      </c>
      <c r="M352" s="26"/>
    </row>
    <row r="353" spans="2:13" ht="27" customHeight="1">
      <c r="B353" s="27" t="s">
        <v>388</v>
      </c>
      <c r="C353" s="10" t="s">
        <v>17</v>
      </c>
      <c r="D353" s="24" t="s">
        <v>389</v>
      </c>
      <c r="E353" s="12">
        <v>9300</v>
      </c>
      <c r="F353" s="25"/>
      <c r="G353" s="12">
        <f>E353*F353</f>
        <v>0</v>
      </c>
      <c r="H353" s="12">
        <f t="shared" si="81"/>
        <v>0</v>
      </c>
      <c r="I353" s="12">
        <f t="shared" si="82"/>
        <v>0</v>
      </c>
      <c r="J353" s="12">
        <v>8300</v>
      </c>
      <c r="K353" s="12">
        <f>E353-J353</f>
        <v>1000</v>
      </c>
      <c r="L353" s="12">
        <f>F353*K353</f>
        <v>0</v>
      </c>
      <c r="M353" s="24" t="s">
        <v>357</v>
      </c>
    </row>
    <row r="354" spans="2:13" ht="27" customHeight="1">
      <c r="B354" s="30"/>
      <c r="C354" s="10"/>
      <c r="D354" s="24"/>
      <c r="E354" s="25"/>
      <c r="F354" s="25"/>
      <c r="G354" s="12">
        <f>E354*F354</f>
        <v>0</v>
      </c>
      <c r="H354" s="12">
        <f t="shared" si="81"/>
        <v>0</v>
      </c>
      <c r="I354" s="12">
        <f t="shared" si="82"/>
        <v>0</v>
      </c>
      <c r="J354" s="25"/>
      <c r="K354" s="12">
        <f>E354-J354</f>
        <v>0</v>
      </c>
      <c r="L354" s="12">
        <f>F354*K354</f>
        <v>0</v>
      </c>
      <c r="M354" s="24"/>
    </row>
    <row r="355" spans="2:13" ht="27" customHeight="1">
      <c r="B355" s="38"/>
      <c r="C355" s="18"/>
      <c r="D355" s="26" t="s">
        <v>156</v>
      </c>
      <c r="E355" s="21"/>
      <c r="F355" s="21"/>
      <c r="G355" s="21">
        <f>SUM(G353:G354)</f>
        <v>0</v>
      </c>
      <c r="H355" s="21">
        <f t="shared" si="81"/>
        <v>0</v>
      </c>
      <c r="I355" s="21">
        <f t="shared" si="82"/>
        <v>0</v>
      </c>
      <c r="J355" s="21"/>
      <c r="K355" s="21"/>
      <c r="L355" s="21">
        <f>SUM(L353:L354)</f>
        <v>0</v>
      </c>
      <c r="M355" s="26"/>
    </row>
    <row r="356" spans="2:13" ht="27" customHeight="1">
      <c r="B356" s="9" t="s">
        <v>390</v>
      </c>
      <c r="C356" s="10" t="s">
        <v>23</v>
      </c>
      <c r="D356" s="24" t="s">
        <v>391</v>
      </c>
      <c r="E356" s="25">
        <v>350</v>
      </c>
      <c r="F356" s="25"/>
      <c r="G356" s="12">
        <f>E356*F356</f>
        <v>0</v>
      </c>
      <c r="H356" s="12">
        <f t="shared" si="81"/>
        <v>0</v>
      </c>
      <c r="I356" s="12">
        <f t="shared" si="82"/>
        <v>0</v>
      </c>
      <c r="J356" s="25">
        <v>300</v>
      </c>
      <c r="K356" s="12">
        <f>E356-J356</f>
        <v>50</v>
      </c>
      <c r="L356" s="12">
        <f>F356*K356</f>
        <v>0</v>
      </c>
      <c r="M356" s="24"/>
    </row>
    <row r="357" spans="2:13" ht="27" customHeight="1">
      <c r="B357" s="13"/>
      <c r="C357" s="10" t="s">
        <v>99</v>
      </c>
      <c r="D357" s="24" t="s">
        <v>392</v>
      </c>
      <c r="E357" s="25">
        <v>300000</v>
      </c>
      <c r="F357" s="25"/>
      <c r="G357" s="12">
        <f>E357*F357</f>
        <v>0</v>
      </c>
      <c r="H357" s="12">
        <f t="shared" si="81"/>
        <v>0</v>
      </c>
      <c r="I357" s="12">
        <f t="shared" si="82"/>
        <v>0</v>
      </c>
      <c r="J357" s="25"/>
      <c r="K357" s="12">
        <f>E357-J357</f>
        <v>300000</v>
      </c>
      <c r="L357" s="12">
        <f>F357*K357</f>
        <v>0</v>
      </c>
      <c r="M357" s="24"/>
    </row>
    <row r="358" spans="2:13" ht="27" customHeight="1">
      <c r="B358" s="17"/>
      <c r="C358" s="10"/>
      <c r="D358" s="26" t="s">
        <v>156</v>
      </c>
      <c r="E358" s="21"/>
      <c r="F358" s="21"/>
      <c r="G358" s="21">
        <f>SUM(G356:G357)</f>
        <v>0</v>
      </c>
      <c r="H358" s="21">
        <f t="shared" si="81"/>
        <v>0</v>
      </c>
      <c r="I358" s="21">
        <f t="shared" si="82"/>
        <v>0</v>
      </c>
      <c r="J358" s="21"/>
      <c r="K358" s="21"/>
      <c r="L358" s="21">
        <f>SUM(L356:L357)</f>
        <v>0</v>
      </c>
      <c r="M358" s="26"/>
    </row>
    <row r="359" spans="2:13" ht="27" customHeight="1">
      <c r="B359" s="9" t="s">
        <v>393</v>
      </c>
      <c r="C359" s="10" t="s">
        <v>23</v>
      </c>
      <c r="D359" s="11" t="s">
        <v>394</v>
      </c>
      <c r="E359" s="12">
        <v>570</v>
      </c>
      <c r="F359" s="12"/>
      <c r="G359" s="12">
        <f t="shared" ref="G359:G364" si="88">E359*F359</f>
        <v>0</v>
      </c>
      <c r="H359" s="12">
        <f t="shared" si="81"/>
        <v>0</v>
      </c>
      <c r="I359" s="12">
        <f t="shared" si="82"/>
        <v>0</v>
      </c>
      <c r="J359" s="25">
        <v>400</v>
      </c>
      <c r="K359" s="12">
        <f t="shared" ref="K359:K364" si="89">E359-J359</f>
        <v>170</v>
      </c>
      <c r="L359" s="12">
        <f t="shared" ref="L359:L364" si="90">F359*K359</f>
        <v>0</v>
      </c>
      <c r="M359" s="50"/>
    </row>
    <row r="360" spans="2:13" ht="27" customHeight="1">
      <c r="B360" s="13"/>
      <c r="C360" s="10" t="s">
        <v>23</v>
      </c>
      <c r="D360" s="11" t="s">
        <v>395</v>
      </c>
      <c r="E360" s="12">
        <v>570</v>
      </c>
      <c r="F360" s="12"/>
      <c r="G360" s="12">
        <f t="shared" si="88"/>
        <v>0</v>
      </c>
      <c r="H360" s="12">
        <f t="shared" si="81"/>
        <v>0</v>
      </c>
      <c r="I360" s="12">
        <f t="shared" si="82"/>
        <v>0</v>
      </c>
      <c r="J360" s="12">
        <v>478</v>
      </c>
      <c r="K360" s="12">
        <f t="shared" si="89"/>
        <v>92</v>
      </c>
      <c r="L360" s="12">
        <f t="shared" si="90"/>
        <v>0</v>
      </c>
      <c r="M360" s="50"/>
    </row>
    <row r="361" spans="2:13" ht="27" customHeight="1">
      <c r="B361" s="13"/>
      <c r="C361" s="10" t="s">
        <v>23</v>
      </c>
      <c r="D361" s="11" t="s">
        <v>396</v>
      </c>
      <c r="E361" s="12">
        <v>630</v>
      </c>
      <c r="F361" s="12"/>
      <c r="G361" s="12">
        <f t="shared" si="88"/>
        <v>0</v>
      </c>
      <c r="H361" s="12">
        <f t="shared" si="81"/>
        <v>0</v>
      </c>
      <c r="I361" s="12">
        <f t="shared" si="82"/>
        <v>0</v>
      </c>
      <c r="J361" s="12">
        <v>506</v>
      </c>
      <c r="K361" s="12">
        <f t="shared" si="89"/>
        <v>124</v>
      </c>
      <c r="L361" s="12">
        <f t="shared" si="90"/>
        <v>0</v>
      </c>
      <c r="M361" s="50"/>
    </row>
    <row r="362" spans="2:13" ht="27" customHeight="1">
      <c r="B362" s="13"/>
      <c r="C362" s="10" t="s">
        <v>23</v>
      </c>
      <c r="D362" s="11" t="s">
        <v>397</v>
      </c>
      <c r="E362" s="12">
        <v>635</v>
      </c>
      <c r="F362" s="12"/>
      <c r="G362" s="12">
        <f t="shared" si="88"/>
        <v>0</v>
      </c>
      <c r="H362" s="12">
        <f t="shared" si="81"/>
        <v>0</v>
      </c>
      <c r="I362" s="12">
        <f t="shared" si="82"/>
        <v>0</v>
      </c>
      <c r="J362" s="37">
        <v>531</v>
      </c>
      <c r="K362" s="12">
        <f t="shared" si="89"/>
        <v>104</v>
      </c>
      <c r="L362" s="12">
        <f t="shared" si="90"/>
        <v>0</v>
      </c>
      <c r="M362" s="50"/>
    </row>
    <row r="363" spans="2:13" ht="27" customHeight="1">
      <c r="B363" s="13"/>
      <c r="C363" s="10" t="s">
        <v>23</v>
      </c>
      <c r="D363" s="63" t="s">
        <v>398</v>
      </c>
      <c r="E363" s="12">
        <v>680</v>
      </c>
      <c r="F363" s="12"/>
      <c r="G363" s="12">
        <f t="shared" si="88"/>
        <v>0</v>
      </c>
      <c r="H363" s="12">
        <f>G363/10</f>
        <v>0</v>
      </c>
      <c r="I363" s="12">
        <f>G363+H363</f>
        <v>0</v>
      </c>
      <c r="J363" s="64">
        <v>560</v>
      </c>
      <c r="K363" s="12">
        <f t="shared" si="89"/>
        <v>120</v>
      </c>
      <c r="L363" s="12">
        <f t="shared" si="90"/>
        <v>0</v>
      </c>
      <c r="M363" s="50"/>
    </row>
    <row r="364" spans="2:13" ht="27" customHeight="1">
      <c r="B364" s="13"/>
      <c r="C364" s="10" t="s">
        <v>23</v>
      </c>
      <c r="D364" s="11" t="s">
        <v>399</v>
      </c>
      <c r="E364" s="12">
        <v>630</v>
      </c>
      <c r="F364" s="12"/>
      <c r="G364" s="12">
        <f t="shared" si="88"/>
        <v>0</v>
      </c>
      <c r="H364" s="12">
        <f t="shared" si="81"/>
        <v>0</v>
      </c>
      <c r="I364" s="12">
        <f t="shared" si="82"/>
        <v>0</v>
      </c>
      <c r="J364" s="12">
        <v>506</v>
      </c>
      <c r="K364" s="12">
        <f t="shared" si="89"/>
        <v>124</v>
      </c>
      <c r="L364" s="12">
        <f t="shared" si="90"/>
        <v>0</v>
      </c>
      <c r="M364" s="50"/>
    </row>
    <row r="365" spans="2:13" ht="27" customHeight="1">
      <c r="B365" s="17"/>
      <c r="C365" s="18"/>
      <c r="D365" s="26" t="s">
        <v>156</v>
      </c>
      <c r="E365" s="21"/>
      <c r="F365" s="21"/>
      <c r="G365" s="21">
        <f>SUM(G359:G364)</f>
        <v>0</v>
      </c>
      <c r="H365" s="21">
        <f t="shared" si="81"/>
        <v>0</v>
      </c>
      <c r="I365" s="21">
        <f t="shared" si="82"/>
        <v>0</v>
      </c>
      <c r="J365" s="21"/>
      <c r="K365" s="21"/>
      <c r="L365" s="21">
        <f>SUM(L359:L364)</f>
        <v>0</v>
      </c>
      <c r="M365" s="26"/>
    </row>
    <row r="366" spans="2:13" ht="27" customHeight="1">
      <c r="B366" s="9" t="s">
        <v>400</v>
      </c>
      <c r="C366" s="10" t="s">
        <v>45</v>
      </c>
      <c r="D366" s="11" t="s">
        <v>80</v>
      </c>
      <c r="E366" s="12">
        <v>1400</v>
      </c>
      <c r="F366" s="12"/>
      <c r="G366" s="12">
        <f>E366*F366</f>
        <v>0</v>
      </c>
      <c r="H366" s="12">
        <f t="shared" ref="H366:H371" si="91">G366*10%</f>
        <v>0</v>
      </c>
      <c r="I366" s="12">
        <f t="shared" si="82"/>
        <v>0</v>
      </c>
      <c r="J366" s="12">
        <v>890</v>
      </c>
      <c r="K366" s="12">
        <f>E366-J366</f>
        <v>510</v>
      </c>
      <c r="L366" s="11">
        <f>F366*K366</f>
        <v>0</v>
      </c>
      <c r="M366" s="11"/>
    </row>
    <row r="367" spans="2:13" ht="27" customHeight="1">
      <c r="B367" s="13"/>
      <c r="C367" s="10"/>
      <c r="D367" s="11"/>
      <c r="E367" s="12"/>
      <c r="F367" s="12"/>
      <c r="G367" s="12">
        <f>E367*F367</f>
        <v>0</v>
      </c>
      <c r="H367" s="12">
        <f t="shared" si="91"/>
        <v>0</v>
      </c>
      <c r="I367" s="12">
        <f t="shared" si="82"/>
        <v>0</v>
      </c>
      <c r="J367" s="12"/>
      <c r="K367" s="12">
        <f>E367-J367</f>
        <v>0</v>
      </c>
      <c r="L367" s="11">
        <f>F367*K367</f>
        <v>0</v>
      </c>
      <c r="M367" s="11"/>
    </row>
    <row r="368" spans="2:13" ht="27" customHeight="1">
      <c r="B368" s="17"/>
      <c r="C368" s="10"/>
      <c r="D368" s="19" t="s">
        <v>156</v>
      </c>
      <c r="E368" s="20"/>
      <c r="F368" s="20"/>
      <c r="G368" s="20">
        <f>SUM(G366:G367)</f>
        <v>0</v>
      </c>
      <c r="H368" s="20">
        <f t="shared" si="91"/>
        <v>0</v>
      </c>
      <c r="I368" s="20">
        <f t="shared" si="82"/>
        <v>0</v>
      </c>
      <c r="J368" s="20"/>
      <c r="K368" s="20"/>
      <c r="L368" s="20">
        <f>SUM(L366:L367)</f>
        <v>0</v>
      </c>
      <c r="M368" s="19"/>
    </row>
    <row r="369" spans="2:13" ht="27" customHeight="1">
      <c r="B369" s="9" t="s">
        <v>401</v>
      </c>
      <c r="C369" s="10" t="s">
        <v>23</v>
      </c>
      <c r="D369" s="11" t="s">
        <v>402</v>
      </c>
      <c r="E369" s="12">
        <v>380</v>
      </c>
      <c r="F369" s="12"/>
      <c r="G369" s="12">
        <f>E369*F369</f>
        <v>0</v>
      </c>
      <c r="H369" s="12">
        <f t="shared" si="91"/>
        <v>0</v>
      </c>
      <c r="I369" s="12">
        <f t="shared" si="82"/>
        <v>0</v>
      </c>
      <c r="J369" s="12">
        <v>340</v>
      </c>
      <c r="K369" s="12">
        <f>E369-J369</f>
        <v>40</v>
      </c>
      <c r="L369" s="11">
        <f>F369*K369</f>
        <v>0</v>
      </c>
      <c r="M369" s="11"/>
    </row>
    <row r="370" spans="2:13" ht="27" customHeight="1">
      <c r="B370" s="13"/>
      <c r="C370" s="10" t="s">
        <v>23</v>
      </c>
      <c r="D370" s="11" t="s">
        <v>403</v>
      </c>
      <c r="E370" s="12">
        <v>370</v>
      </c>
      <c r="F370" s="12"/>
      <c r="G370" s="12">
        <f>E370*F370</f>
        <v>0</v>
      </c>
      <c r="H370" s="12">
        <f t="shared" si="91"/>
        <v>0</v>
      </c>
      <c r="I370" s="12">
        <f t="shared" si="82"/>
        <v>0</v>
      </c>
      <c r="J370" s="12">
        <v>320</v>
      </c>
      <c r="K370" s="12">
        <f>E370-J370</f>
        <v>50</v>
      </c>
      <c r="L370" s="11">
        <f>F370*K370</f>
        <v>0</v>
      </c>
      <c r="M370" s="11"/>
    </row>
    <row r="371" spans="2:13" ht="27" customHeight="1">
      <c r="B371" s="13"/>
      <c r="C371" s="10" t="s">
        <v>23</v>
      </c>
      <c r="D371" s="11" t="s">
        <v>404</v>
      </c>
      <c r="E371" s="12">
        <v>340</v>
      </c>
      <c r="F371" s="12"/>
      <c r="G371" s="12">
        <f>E371*F371</f>
        <v>0</v>
      </c>
      <c r="H371" s="12">
        <f t="shared" si="91"/>
        <v>0</v>
      </c>
      <c r="I371" s="12">
        <f t="shared" si="82"/>
        <v>0</v>
      </c>
      <c r="J371" s="12">
        <v>280</v>
      </c>
      <c r="K371" s="12">
        <f>E371-J371</f>
        <v>60</v>
      </c>
      <c r="L371" s="11">
        <f>F371*K371</f>
        <v>0</v>
      </c>
      <c r="M371" s="11"/>
    </row>
    <row r="372" spans="2:13" ht="27" customHeight="1">
      <c r="B372" s="17"/>
      <c r="C372" s="18"/>
      <c r="D372" s="19" t="s">
        <v>405</v>
      </c>
      <c r="E372" s="20"/>
      <c r="F372" s="20"/>
      <c r="G372" s="20">
        <f>SUM(G369:G371)</f>
        <v>0</v>
      </c>
      <c r="H372" s="20">
        <f>SUM(H369:H371)</f>
        <v>0</v>
      </c>
      <c r="I372" s="20">
        <f>SUM(I369:I371)</f>
        <v>0</v>
      </c>
      <c r="J372" s="20"/>
      <c r="K372" s="20"/>
      <c r="L372" s="20">
        <f>SUM(L369:L371)</f>
        <v>0</v>
      </c>
      <c r="M372" s="19"/>
    </row>
    <row r="373" spans="2:13" ht="27" customHeight="1">
      <c r="B373" s="9" t="s">
        <v>406</v>
      </c>
      <c r="C373" s="10" t="s">
        <v>45</v>
      </c>
      <c r="D373" s="11" t="s">
        <v>230</v>
      </c>
      <c r="E373" s="12">
        <v>5800</v>
      </c>
      <c r="F373" s="12"/>
      <c r="G373" s="12">
        <f>E373*F373</f>
        <v>0</v>
      </c>
      <c r="H373" s="12">
        <f>G373*10%</f>
        <v>0</v>
      </c>
      <c r="I373" s="12">
        <f t="shared" ref="I373:I401" si="92">G373+H373</f>
        <v>0</v>
      </c>
      <c r="J373" s="12">
        <v>5000</v>
      </c>
      <c r="K373" s="12">
        <f>E373-J373</f>
        <v>800</v>
      </c>
      <c r="L373" s="11">
        <f>F373*K373</f>
        <v>0</v>
      </c>
      <c r="M373" s="11"/>
    </row>
    <row r="374" spans="2:13" ht="27" customHeight="1">
      <c r="B374" s="13"/>
      <c r="C374" s="10" t="s">
        <v>45</v>
      </c>
      <c r="D374" s="11" t="s">
        <v>94</v>
      </c>
      <c r="E374" s="12">
        <v>1200</v>
      </c>
      <c r="F374" s="12"/>
      <c r="G374" s="12">
        <f>E374*F374</f>
        <v>0</v>
      </c>
      <c r="H374" s="12">
        <f>G374*10%</f>
        <v>0</v>
      </c>
      <c r="I374" s="12">
        <f t="shared" si="92"/>
        <v>0</v>
      </c>
      <c r="J374" s="12">
        <v>630</v>
      </c>
      <c r="K374" s="12">
        <f>E374-J374</f>
        <v>570</v>
      </c>
      <c r="L374" s="11">
        <f>F374*K374</f>
        <v>0</v>
      </c>
      <c r="M374" s="11"/>
    </row>
    <row r="375" spans="2:13" ht="27" customHeight="1">
      <c r="B375" s="13"/>
      <c r="C375" s="10" t="s">
        <v>45</v>
      </c>
      <c r="D375" s="11" t="s">
        <v>46</v>
      </c>
      <c r="E375" s="12">
        <v>1800</v>
      </c>
      <c r="F375" s="12"/>
      <c r="G375" s="12">
        <f>E375*F375</f>
        <v>0</v>
      </c>
      <c r="H375" s="12">
        <f>G375/10</f>
        <v>0</v>
      </c>
      <c r="I375" s="12">
        <f t="shared" si="92"/>
        <v>0</v>
      </c>
      <c r="J375" s="12">
        <v>1273</v>
      </c>
      <c r="K375" s="12">
        <f>E375-J375</f>
        <v>527</v>
      </c>
      <c r="L375" s="12">
        <f>F375*K375</f>
        <v>0</v>
      </c>
      <c r="M375" s="15" t="s">
        <v>93</v>
      </c>
    </row>
    <row r="376" spans="2:13" ht="27" customHeight="1">
      <c r="B376" s="13"/>
      <c r="C376" s="10" t="s">
        <v>23</v>
      </c>
      <c r="D376" s="11" t="s">
        <v>246</v>
      </c>
      <c r="E376" s="12">
        <v>360</v>
      </c>
      <c r="F376" s="12"/>
      <c r="G376" s="12">
        <f>E376*F376</f>
        <v>0</v>
      </c>
      <c r="H376" s="12">
        <f t="shared" ref="H376:H401" si="93">G376*10%</f>
        <v>0</v>
      </c>
      <c r="I376" s="12">
        <f t="shared" si="92"/>
        <v>0</v>
      </c>
      <c r="J376" s="12">
        <v>300</v>
      </c>
      <c r="K376" s="12">
        <f>E376-J376</f>
        <v>60</v>
      </c>
      <c r="L376" s="11">
        <f>F376*K376</f>
        <v>0</v>
      </c>
      <c r="M376" s="11"/>
    </row>
    <row r="377" spans="2:13" ht="27" customHeight="1">
      <c r="B377" s="13"/>
      <c r="C377" s="10" t="s">
        <v>23</v>
      </c>
      <c r="D377" s="11" t="s">
        <v>407</v>
      </c>
      <c r="E377" s="12">
        <v>760</v>
      </c>
      <c r="F377" s="12"/>
      <c r="G377" s="12">
        <f>E377*F377</f>
        <v>0</v>
      </c>
      <c r="H377" s="12">
        <f t="shared" si="93"/>
        <v>0</v>
      </c>
      <c r="I377" s="12">
        <f t="shared" si="92"/>
        <v>0</v>
      </c>
      <c r="J377" s="12">
        <v>580</v>
      </c>
      <c r="K377" s="12">
        <f>E377-J377</f>
        <v>180</v>
      </c>
      <c r="L377" s="11">
        <f>F377*K377</f>
        <v>0</v>
      </c>
      <c r="M377" s="11"/>
    </row>
    <row r="378" spans="2:13" ht="27" customHeight="1">
      <c r="B378" s="17"/>
      <c r="C378" s="18"/>
      <c r="D378" s="19" t="s">
        <v>405</v>
      </c>
      <c r="E378" s="20"/>
      <c r="F378" s="20"/>
      <c r="G378" s="20">
        <f>SUM(G373:G377)</f>
        <v>0</v>
      </c>
      <c r="H378" s="20">
        <f t="shared" si="93"/>
        <v>0</v>
      </c>
      <c r="I378" s="20">
        <f t="shared" si="92"/>
        <v>0</v>
      </c>
      <c r="J378" s="20"/>
      <c r="K378" s="20"/>
      <c r="L378" s="20">
        <f>SUM(L373:L377)</f>
        <v>0</v>
      </c>
      <c r="M378" s="19"/>
    </row>
    <row r="379" spans="2:13" ht="27" customHeight="1">
      <c r="B379" s="9" t="s">
        <v>408</v>
      </c>
      <c r="C379" s="10" t="s">
        <v>23</v>
      </c>
      <c r="D379" s="11" t="s">
        <v>409</v>
      </c>
      <c r="E379" s="12">
        <v>730</v>
      </c>
      <c r="F379" s="12"/>
      <c r="G379" s="12">
        <f>E379*F379</f>
        <v>0</v>
      </c>
      <c r="H379" s="12">
        <f t="shared" si="93"/>
        <v>0</v>
      </c>
      <c r="I379" s="12">
        <f t="shared" si="92"/>
        <v>0</v>
      </c>
      <c r="J379" s="12">
        <v>600</v>
      </c>
      <c r="K379" s="12">
        <f>E379-J379</f>
        <v>130</v>
      </c>
      <c r="L379" s="11">
        <f>F379*K379</f>
        <v>0</v>
      </c>
      <c r="M379" s="11"/>
    </row>
    <row r="380" spans="2:13" ht="27" customHeight="1">
      <c r="B380" s="13"/>
      <c r="C380" s="10"/>
      <c r="D380" s="11"/>
      <c r="E380" s="12"/>
      <c r="F380" s="12"/>
      <c r="G380" s="12">
        <f>E380*F380</f>
        <v>0</v>
      </c>
      <c r="H380" s="12">
        <f t="shared" si="93"/>
        <v>0</v>
      </c>
      <c r="I380" s="12">
        <f t="shared" si="92"/>
        <v>0</v>
      </c>
      <c r="J380" s="12"/>
      <c r="K380" s="12">
        <f>E380-J380</f>
        <v>0</v>
      </c>
      <c r="L380" s="11">
        <f>F380*K380</f>
        <v>0</v>
      </c>
      <c r="M380" s="11"/>
    </row>
    <row r="381" spans="2:13" ht="27" customHeight="1">
      <c r="B381" s="17"/>
      <c r="C381" s="18"/>
      <c r="D381" s="19" t="s">
        <v>156</v>
      </c>
      <c r="E381" s="20"/>
      <c r="F381" s="20"/>
      <c r="G381" s="20">
        <f>SUM(G379:G380)</f>
        <v>0</v>
      </c>
      <c r="H381" s="20">
        <f t="shared" si="93"/>
        <v>0</v>
      </c>
      <c r="I381" s="20">
        <f t="shared" si="92"/>
        <v>0</v>
      </c>
      <c r="J381" s="20"/>
      <c r="K381" s="20"/>
      <c r="L381" s="20">
        <f>SUM(L379:L380)</f>
        <v>0</v>
      </c>
      <c r="M381" s="19"/>
    </row>
    <row r="382" spans="2:13" ht="27" customHeight="1">
      <c r="B382" s="9" t="s">
        <v>410</v>
      </c>
      <c r="C382" s="10" t="s">
        <v>23</v>
      </c>
      <c r="D382" s="11" t="s">
        <v>411</v>
      </c>
      <c r="E382" s="12">
        <v>240</v>
      </c>
      <c r="F382" s="12"/>
      <c r="G382" s="12">
        <f>E382*F382</f>
        <v>0</v>
      </c>
      <c r="H382" s="12">
        <f t="shared" si="93"/>
        <v>0</v>
      </c>
      <c r="I382" s="12">
        <f t="shared" si="92"/>
        <v>0</v>
      </c>
      <c r="J382" s="12">
        <v>210</v>
      </c>
      <c r="K382" s="12">
        <f>E382-J382</f>
        <v>30</v>
      </c>
      <c r="L382" s="11">
        <f>F382*K382</f>
        <v>0</v>
      </c>
      <c r="M382" s="11"/>
    </row>
    <row r="383" spans="2:13" ht="27" customHeight="1">
      <c r="B383" s="13"/>
      <c r="C383" s="10" t="s">
        <v>23</v>
      </c>
      <c r="D383" s="11" t="s">
        <v>412</v>
      </c>
      <c r="E383" s="12">
        <v>240</v>
      </c>
      <c r="F383" s="12"/>
      <c r="G383" s="12">
        <f>E383*F383</f>
        <v>0</v>
      </c>
      <c r="H383" s="12">
        <f t="shared" si="93"/>
        <v>0</v>
      </c>
      <c r="I383" s="12">
        <f t="shared" si="92"/>
        <v>0</v>
      </c>
      <c r="J383" s="12">
        <v>220</v>
      </c>
      <c r="K383" s="12">
        <f>E383-J383</f>
        <v>20</v>
      </c>
      <c r="L383" s="11">
        <f>F383*K383</f>
        <v>0</v>
      </c>
      <c r="M383" s="11"/>
    </row>
    <row r="384" spans="2:13" ht="27" customHeight="1">
      <c r="B384" s="13"/>
      <c r="C384" s="10" t="s">
        <v>45</v>
      </c>
      <c r="D384" s="11" t="s">
        <v>413</v>
      </c>
      <c r="E384" s="12">
        <v>50</v>
      </c>
      <c r="F384" s="12"/>
      <c r="G384" s="12">
        <f>E384*F384</f>
        <v>0</v>
      </c>
      <c r="H384" s="12">
        <f t="shared" si="93"/>
        <v>0</v>
      </c>
      <c r="I384" s="12">
        <f t="shared" si="92"/>
        <v>0</v>
      </c>
      <c r="J384" s="12">
        <v>41</v>
      </c>
      <c r="K384" s="12">
        <f>E384-J384</f>
        <v>9</v>
      </c>
      <c r="L384" s="11">
        <f>F384*K384</f>
        <v>0</v>
      </c>
      <c r="M384" s="11" t="s">
        <v>414</v>
      </c>
    </row>
    <row r="385" spans="2:13" ht="27" customHeight="1">
      <c r="B385" s="13"/>
      <c r="C385" s="10"/>
      <c r="D385" s="11"/>
      <c r="E385" s="12"/>
      <c r="F385" s="12"/>
      <c r="G385" s="12">
        <f>E385*F385</f>
        <v>0</v>
      </c>
      <c r="H385" s="12">
        <f t="shared" si="93"/>
        <v>0</v>
      </c>
      <c r="I385" s="12">
        <f t="shared" si="92"/>
        <v>0</v>
      </c>
      <c r="J385" s="12"/>
      <c r="K385" s="12">
        <f>E385-J385</f>
        <v>0</v>
      </c>
      <c r="L385" s="11">
        <f>F385*K385</f>
        <v>0</v>
      </c>
      <c r="M385" s="11"/>
    </row>
    <row r="386" spans="2:13" ht="27" customHeight="1">
      <c r="B386" s="17"/>
      <c r="C386" s="18"/>
      <c r="D386" s="19" t="s">
        <v>156</v>
      </c>
      <c r="E386" s="20"/>
      <c r="F386" s="20"/>
      <c r="G386" s="20">
        <f>SUM(G382:G385)</f>
        <v>0</v>
      </c>
      <c r="H386" s="20">
        <f t="shared" si="93"/>
        <v>0</v>
      </c>
      <c r="I386" s="20">
        <f t="shared" si="92"/>
        <v>0</v>
      </c>
      <c r="J386" s="20"/>
      <c r="K386" s="20"/>
      <c r="L386" s="20">
        <f>SUM(L382:L385)</f>
        <v>0</v>
      </c>
      <c r="M386" s="19"/>
    </row>
    <row r="387" spans="2:13" ht="27" customHeight="1">
      <c r="B387" s="9" t="s">
        <v>415</v>
      </c>
      <c r="C387" s="10" t="s">
        <v>23</v>
      </c>
      <c r="D387" s="11" t="s">
        <v>416</v>
      </c>
      <c r="E387" s="12">
        <v>150</v>
      </c>
      <c r="F387" s="12"/>
      <c r="G387" s="12">
        <f>E387*F387</f>
        <v>0</v>
      </c>
      <c r="H387" s="12">
        <f t="shared" si="93"/>
        <v>0</v>
      </c>
      <c r="I387" s="12">
        <f t="shared" si="92"/>
        <v>0</v>
      </c>
      <c r="J387" s="12">
        <v>130</v>
      </c>
      <c r="K387" s="12">
        <f>E387-J387</f>
        <v>20</v>
      </c>
      <c r="L387" s="11">
        <f>F387*K387</f>
        <v>0</v>
      </c>
      <c r="M387" s="11"/>
    </row>
    <row r="388" spans="2:13" ht="27" customHeight="1">
      <c r="B388" s="13"/>
      <c r="C388" s="10" t="s">
        <v>23</v>
      </c>
      <c r="D388" s="11" t="s">
        <v>417</v>
      </c>
      <c r="E388" s="12">
        <v>320</v>
      </c>
      <c r="F388" s="12"/>
      <c r="G388" s="12">
        <f>E388*F388</f>
        <v>0</v>
      </c>
      <c r="H388" s="12">
        <f t="shared" si="93"/>
        <v>0</v>
      </c>
      <c r="I388" s="12">
        <f t="shared" si="92"/>
        <v>0</v>
      </c>
      <c r="J388" s="12">
        <v>280</v>
      </c>
      <c r="K388" s="12">
        <f>E388-J388</f>
        <v>40</v>
      </c>
      <c r="L388" s="11">
        <f>F388*K388</f>
        <v>0</v>
      </c>
      <c r="M388" s="11"/>
    </row>
    <row r="389" spans="2:13" ht="27" customHeight="1">
      <c r="B389" s="13"/>
      <c r="C389" s="10" t="s">
        <v>23</v>
      </c>
      <c r="D389" s="11" t="s">
        <v>418</v>
      </c>
      <c r="E389" s="12">
        <v>320</v>
      </c>
      <c r="F389" s="12"/>
      <c r="G389" s="12">
        <f>E389*F389</f>
        <v>0</v>
      </c>
      <c r="H389" s="12">
        <f t="shared" si="93"/>
        <v>0</v>
      </c>
      <c r="I389" s="12">
        <f t="shared" si="92"/>
        <v>0</v>
      </c>
      <c r="J389" s="12">
        <v>280</v>
      </c>
      <c r="K389" s="12">
        <f>E389-J389</f>
        <v>40</v>
      </c>
      <c r="L389" s="11">
        <f>F389*K389</f>
        <v>0</v>
      </c>
      <c r="M389" s="11"/>
    </row>
    <row r="390" spans="2:13" ht="27" customHeight="1">
      <c r="B390" s="13"/>
      <c r="C390" s="10" t="s">
        <v>99</v>
      </c>
      <c r="D390" s="11" t="s">
        <v>100</v>
      </c>
      <c r="E390" s="12">
        <v>290</v>
      </c>
      <c r="F390" s="12"/>
      <c r="G390" s="12">
        <f>E390*F390</f>
        <v>0</v>
      </c>
      <c r="H390" s="12">
        <f t="shared" si="93"/>
        <v>0</v>
      </c>
      <c r="I390" s="12">
        <f t="shared" si="92"/>
        <v>0</v>
      </c>
      <c r="J390" s="12"/>
      <c r="K390" s="12">
        <f>E390-J390</f>
        <v>290</v>
      </c>
      <c r="L390" s="11">
        <f>F390*K390</f>
        <v>0</v>
      </c>
      <c r="M390" s="11"/>
    </row>
    <row r="391" spans="2:13" ht="27" customHeight="1">
      <c r="B391" s="17"/>
      <c r="C391" s="18"/>
      <c r="D391" s="19" t="s">
        <v>405</v>
      </c>
      <c r="E391" s="20"/>
      <c r="F391" s="20"/>
      <c r="G391" s="20">
        <f>SUM(G387:G390)</f>
        <v>0</v>
      </c>
      <c r="H391" s="20">
        <f t="shared" si="93"/>
        <v>0</v>
      </c>
      <c r="I391" s="20">
        <f t="shared" si="92"/>
        <v>0</v>
      </c>
      <c r="J391" s="20"/>
      <c r="K391" s="20"/>
      <c r="L391" s="20">
        <f>SUM(L387:L390)</f>
        <v>0</v>
      </c>
      <c r="M391" s="19"/>
    </row>
    <row r="392" spans="2:13" ht="27" customHeight="1">
      <c r="B392" s="9" t="s">
        <v>419</v>
      </c>
      <c r="C392" s="10" t="s">
        <v>23</v>
      </c>
      <c r="D392" s="11" t="s">
        <v>420</v>
      </c>
      <c r="E392" s="12">
        <v>380</v>
      </c>
      <c r="F392" s="12"/>
      <c r="G392" s="12">
        <f>E392*F392</f>
        <v>0</v>
      </c>
      <c r="H392" s="12">
        <f t="shared" si="93"/>
        <v>0</v>
      </c>
      <c r="I392" s="12">
        <f t="shared" si="92"/>
        <v>0</v>
      </c>
      <c r="J392" s="12">
        <v>300</v>
      </c>
      <c r="K392" s="12">
        <f>E392-J392</f>
        <v>80</v>
      </c>
      <c r="L392" s="11">
        <f>F392*K392</f>
        <v>0</v>
      </c>
      <c r="M392" s="11"/>
    </row>
    <row r="393" spans="2:13" ht="27" customHeight="1">
      <c r="B393" s="13"/>
      <c r="C393" s="10" t="s">
        <v>23</v>
      </c>
      <c r="D393" s="11" t="s">
        <v>421</v>
      </c>
      <c r="E393" s="12">
        <v>330</v>
      </c>
      <c r="F393" s="12"/>
      <c r="G393" s="12">
        <f>E393*F393</f>
        <v>0</v>
      </c>
      <c r="H393" s="12">
        <f t="shared" si="93"/>
        <v>0</v>
      </c>
      <c r="I393" s="12">
        <f t="shared" si="92"/>
        <v>0</v>
      </c>
      <c r="J393" s="12">
        <v>280</v>
      </c>
      <c r="K393" s="12">
        <f>E393-J393</f>
        <v>50</v>
      </c>
      <c r="L393" s="11">
        <f>F393*K393</f>
        <v>0</v>
      </c>
      <c r="M393" s="11"/>
    </row>
    <row r="394" spans="2:13" ht="27" customHeight="1">
      <c r="B394" s="13"/>
      <c r="C394" s="10" t="s">
        <v>99</v>
      </c>
      <c r="D394" s="11" t="s">
        <v>188</v>
      </c>
      <c r="E394" s="12">
        <v>200000</v>
      </c>
      <c r="F394" s="12"/>
      <c r="G394" s="12">
        <f>E394*F394</f>
        <v>0</v>
      </c>
      <c r="H394" s="12">
        <f t="shared" si="93"/>
        <v>0</v>
      </c>
      <c r="I394" s="12">
        <f t="shared" si="92"/>
        <v>0</v>
      </c>
      <c r="J394" s="12"/>
      <c r="K394" s="12">
        <f>E394-J394</f>
        <v>200000</v>
      </c>
      <c r="L394" s="11">
        <f>F394*K394</f>
        <v>0</v>
      </c>
      <c r="M394" s="11"/>
    </row>
    <row r="395" spans="2:13" ht="27" customHeight="1">
      <c r="B395" s="17"/>
      <c r="C395" s="18"/>
      <c r="D395" s="19" t="s">
        <v>405</v>
      </c>
      <c r="E395" s="20"/>
      <c r="F395" s="20"/>
      <c r="G395" s="20">
        <f>SUM(G392:G394)</f>
        <v>0</v>
      </c>
      <c r="H395" s="20">
        <f t="shared" si="93"/>
        <v>0</v>
      </c>
      <c r="I395" s="20">
        <f t="shared" si="92"/>
        <v>0</v>
      </c>
      <c r="J395" s="20"/>
      <c r="K395" s="20"/>
      <c r="L395" s="20">
        <f>SUM(L392:L394)</f>
        <v>0</v>
      </c>
      <c r="M395" s="19"/>
    </row>
    <row r="396" spans="2:13" ht="27" customHeight="1">
      <c r="B396" s="27" t="s">
        <v>422</v>
      </c>
      <c r="C396" s="10" t="s">
        <v>14</v>
      </c>
      <c r="D396" s="11" t="s">
        <v>423</v>
      </c>
      <c r="E396" s="12">
        <v>10500</v>
      </c>
      <c r="F396" s="12"/>
      <c r="G396" s="12">
        <f>E396*F396</f>
        <v>0</v>
      </c>
      <c r="H396" s="12">
        <f t="shared" si="93"/>
        <v>0</v>
      </c>
      <c r="I396" s="12">
        <f t="shared" si="92"/>
        <v>0</v>
      </c>
      <c r="J396" s="12"/>
      <c r="K396" s="12">
        <f>E396-J396</f>
        <v>10500</v>
      </c>
      <c r="L396" s="11">
        <f>F396*K396</f>
        <v>0</v>
      </c>
      <c r="M396" s="11"/>
    </row>
    <row r="397" spans="2:13" ht="27" customHeight="1">
      <c r="B397" s="30"/>
      <c r="C397" s="10" t="s">
        <v>17</v>
      </c>
      <c r="D397" s="11" t="s">
        <v>424</v>
      </c>
      <c r="E397" s="12">
        <v>7500</v>
      </c>
      <c r="F397" s="12"/>
      <c r="G397" s="12">
        <f>E397*F397</f>
        <v>0</v>
      </c>
      <c r="H397" s="12">
        <f t="shared" si="93"/>
        <v>0</v>
      </c>
      <c r="I397" s="12">
        <f t="shared" si="92"/>
        <v>0</v>
      </c>
      <c r="J397" s="12">
        <v>5800</v>
      </c>
      <c r="K397" s="12">
        <f>E397-J397</f>
        <v>1700</v>
      </c>
      <c r="L397" s="11">
        <f>F397*K397</f>
        <v>0</v>
      </c>
      <c r="M397" s="11"/>
    </row>
    <row r="398" spans="2:13" ht="27" customHeight="1">
      <c r="B398" s="30"/>
      <c r="C398" s="10" t="s">
        <v>14</v>
      </c>
      <c r="D398" s="11" t="s">
        <v>425</v>
      </c>
      <c r="E398" s="12">
        <v>10500</v>
      </c>
      <c r="F398" s="12"/>
      <c r="G398" s="12">
        <f>E398*F398</f>
        <v>0</v>
      </c>
      <c r="H398" s="12">
        <f t="shared" si="93"/>
        <v>0</v>
      </c>
      <c r="I398" s="12">
        <f t="shared" si="92"/>
        <v>0</v>
      </c>
      <c r="J398" s="12">
        <v>7833</v>
      </c>
      <c r="K398" s="12">
        <f>E398-J398</f>
        <v>2667</v>
      </c>
      <c r="L398" s="11">
        <f>F398*K398</f>
        <v>0</v>
      </c>
      <c r="M398" s="11"/>
    </row>
    <row r="399" spans="2:13" ht="27" customHeight="1">
      <c r="B399" s="30"/>
      <c r="C399" s="10" t="s">
        <v>14</v>
      </c>
      <c r="D399" s="11" t="s">
        <v>75</v>
      </c>
      <c r="E399" s="12">
        <v>9600</v>
      </c>
      <c r="F399" s="12"/>
      <c r="G399" s="12">
        <f>E399*F399</f>
        <v>0</v>
      </c>
      <c r="H399" s="12">
        <f t="shared" si="93"/>
        <v>0</v>
      </c>
      <c r="I399" s="12">
        <f t="shared" si="92"/>
        <v>0</v>
      </c>
      <c r="J399" s="12">
        <v>7280</v>
      </c>
      <c r="K399" s="12">
        <f>E399-J399</f>
        <v>2320</v>
      </c>
      <c r="L399" s="11">
        <f>F399*K399</f>
        <v>0</v>
      </c>
      <c r="M399" s="11"/>
    </row>
    <row r="400" spans="2:13" ht="27" customHeight="1">
      <c r="B400" s="30"/>
      <c r="C400" s="10" t="s">
        <v>99</v>
      </c>
      <c r="D400" s="11" t="s">
        <v>151</v>
      </c>
      <c r="E400" s="12">
        <v>-750000</v>
      </c>
      <c r="F400" s="12"/>
      <c r="G400" s="12">
        <f>E400*F400</f>
        <v>0</v>
      </c>
      <c r="H400" s="12">
        <f t="shared" si="93"/>
        <v>0</v>
      </c>
      <c r="I400" s="12">
        <f t="shared" si="92"/>
        <v>0</v>
      </c>
      <c r="J400" s="12"/>
      <c r="K400" s="12">
        <f>E400-J400</f>
        <v>-750000</v>
      </c>
      <c r="L400" s="11">
        <f>F400*K400</f>
        <v>0</v>
      </c>
      <c r="M400" s="11"/>
    </row>
    <row r="401" spans="2:13" ht="27" customHeight="1">
      <c r="B401" s="30"/>
      <c r="C401" s="18"/>
      <c r="D401" s="19" t="s">
        <v>405</v>
      </c>
      <c r="E401" s="20"/>
      <c r="F401" s="20"/>
      <c r="G401" s="20">
        <f>SUM(G396:G400)</f>
        <v>0</v>
      </c>
      <c r="H401" s="20">
        <f t="shared" si="93"/>
        <v>0</v>
      </c>
      <c r="I401" s="20">
        <f t="shared" si="92"/>
        <v>0</v>
      </c>
      <c r="J401" s="20"/>
      <c r="K401" s="20"/>
      <c r="L401" s="20">
        <f>SUM(L396:L400)</f>
        <v>0</v>
      </c>
      <c r="M401" s="19"/>
    </row>
    <row r="402" spans="2:13" ht="27" customHeight="1">
      <c r="B402" s="38"/>
      <c r="C402" s="18"/>
      <c r="D402" s="65" t="s">
        <v>426</v>
      </c>
      <c r="E402" s="66"/>
      <c r="F402" s="66"/>
      <c r="G402" s="66"/>
      <c r="H402" s="66"/>
      <c r="I402" s="66"/>
      <c r="J402" s="66"/>
      <c r="K402" s="66"/>
      <c r="L402" s="66"/>
      <c r="M402" s="67"/>
    </row>
    <row r="403" spans="2:13" ht="27" customHeight="1">
      <c r="B403" s="9" t="s">
        <v>427</v>
      </c>
      <c r="C403" s="10" t="s">
        <v>23</v>
      </c>
      <c r="D403" s="11" t="s">
        <v>428</v>
      </c>
      <c r="E403" s="12">
        <v>160</v>
      </c>
      <c r="F403" s="12"/>
      <c r="G403" s="12">
        <f>E403*F403</f>
        <v>0</v>
      </c>
      <c r="H403" s="12">
        <f>G403/10</f>
        <v>0</v>
      </c>
      <c r="I403" s="12">
        <f>G403+H403</f>
        <v>0</v>
      </c>
      <c r="J403" s="12">
        <v>120</v>
      </c>
      <c r="K403" s="12">
        <f>E403-J403</f>
        <v>40</v>
      </c>
      <c r="L403" s="11">
        <f>F403*K403</f>
        <v>0</v>
      </c>
      <c r="M403" s="11"/>
    </row>
    <row r="404" spans="2:13" ht="27" customHeight="1">
      <c r="B404" s="13"/>
      <c r="C404" s="10" t="s">
        <v>45</v>
      </c>
      <c r="D404" s="11" t="s">
        <v>150</v>
      </c>
      <c r="E404" s="12">
        <v>1300</v>
      </c>
      <c r="F404" s="12"/>
      <c r="G404" s="12">
        <f>E404*F404</f>
        <v>0</v>
      </c>
      <c r="H404" s="12">
        <f>G404/10</f>
        <v>0</v>
      </c>
      <c r="I404" s="12">
        <f>G404+H404</f>
        <v>0</v>
      </c>
      <c r="J404" s="12">
        <v>860</v>
      </c>
      <c r="K404" s="12">
        <f>E404-J404</f>
        <v>440</v>
      </c>
      <c r="L404" s="11">
        <f>F404*K404</f>
        <v>0</v>
      </c>
      <c r="M404" s="11"/>
    </row>
    <row r="405" spans="2:13" ht="27" customHeight="1">
      <c r="B405" s="13"/>
      <c r="C405" s="10" t="s">
        <v>23</v>
      </c>
      <c r="D405" s="11" t="s">
        <v>429</v>
      </c>
      <c r="E405" s="12">
        <v>315</v>
      </c>
      <c r="F405" s="12"/>
      <c r="G405" s="12">
        <f>E405*F405</f>
        <v>0</v>
      </c>
      <c r="H405" s="12">
        <f>G405/10</f>
        <v>0</v>
      </c>
      <c r="I405" s="12">
        <f>G405+H405</f>
        <v>0</v>
      </c>
      <c r="J405" s="12">
        <v>270</v>
      </c>
      <c r="K405" s="12">
        <f>E405-J405</f>
        <v>45</v>
      </c>
      <c r="L405" s="11">
        <f>F405*K405</f>
        <v>0</v>
      </c>
      <c r="M405" s="11"/>
    </row>
    <row r="406" spans="2:13" ht="27" customHeight="1">
      <c r="B406" s="13"/>
      <c r="C406" s="10" t="s">
        <v>23</v>
      </c>
      <c r="D406" s="11" t="s">
        <v>430</v>
      </c>
      <c r="E406" s="12">
        <v>770</v>
      </c>
      <c r="F406" s="12"/>
      <c r="G406" s="12">
        <f>E406*F406</f>
        <v>0</v>
      </c>
      <c r="H406" s="12">
        <f>G406/10</f>
        <v>0</v>
      </c>
      <c r="I406" s="12">
        <f>G406+H406</f>
        <v>0</v>
      </c>
      <c r="J406" s="12">
        <v>650</v>
      </c>
      <c r="K406" s="12">
        <f>E406-J406</f>
        <v>120</v>
      </c>
      <c r="L406" s="11">
        <f>F406*K406</f>
        <v>0</v>
      </c>
      <c r="M406" s="11"/>
    </row>
    <row r="407" spans="2:13" ht="27" customHeight="1">
      <c r="B407" s="13"/>
      <c r="C407" s="10" t="s">
        <v>23</v>
      </c>
      <c r="D407" s="11" t="s">
        <v>431</v>
      </c>
      <c r="E407" s="12">
        <v>310</v>
      </c>
      <c r="F407" s="12"/>
      <c r="G407" s="12">
        <f>E407*F407</f>
        <v>0</v>
      </c>
      <c r="H407" s="12">
        <f>G407/10</f>
        <v>0</v>
      </c>
      <c r="I407" s="12">
        <f>G407+H407</f>
        <v>0</v>
      </c>
      <c r="J407" s="12">
        <v>260</v>
      </c>
      <c r="K407" s="12">
        <f>E407-J407</f>
        <v>50</v>
      </c>
      <c r="L407" s="11">
        <f>F407*K407</f>
        <v>0</v>
      </c>
      <c r="M407" s="11"/>
    </row>
    <row r="408" spans="2:13" ht="27" customHeight="1">
      <c r="B408" s="17"/>
      <c r="C408" s="18"/>
      <c r="D408" s="19" t="s">
        <v>405</v>
      </c>
      <c r="E408" s="20"/>
      <c r="F408" s="20"/>
      <c r="G408" s="20">
        <f>SUM(G403:G407)</f>
        <v>0</v>
      </c>
      <c r="H408" s="20">
        <f>SUM(H403:H407)</f>
        <v>0</v>
      </c>
      <c r="I408" s="20">
        <f>SUM(I403:I407)</f>
        <v>0</v>
      </c>
      <c r="J408" s="20"/>
      <c r="K408" s="20"/>
      <c r="L408" s="20">
        <f>SUM(L403:L407)</f>
        <v>0</v>
      </c>
      <c r="M408" s="19"/>
    </row>
    <row r="409" spans="2:13" ht="27" customHeight="1">
      <c r="B409" s="9" t="s">
        <v>432</v>
      </c>
      <c r="C409" s="10" t="s">
        <v>23</v>
      </c>
      <c r="D409" s="11" t="s">
        <v>433</v>
      </c>
      <c r="E409" s="12">
        <v>340</v>
      </c>
      <c r="F409" s="12"/>
      <c r="G409" s="12">
        <f>E409*F409</f>
        <v>0</v>
      </c>
      <c r="H409" s="12">
        <f t="shared" ref="H409:H416" si="94">G409/10</f>
        <v>0</v>
      </c>
      <c r="I409" s="12">
        <f>G409+H409</f>
        <v>0</v>
      </c>
      <c r="J409" s="12">
        <v>310</v>
      </c>
      <c r="K409" s="12">
        <f>E409-J409</f>
        <v>30</v>
      </c>
      <c r="L409" s="12">
        <f>K409*F409</f>
        <v>0</v>
      </c>
      <c r="M409" s="11"/>
    </row>
    <row r="410" spans="2:13" ht="27" customHeight="1">
      <c r="B410" s="13"/>
      <c r="C410" s="10" t="s">
        <v>23</v>
      </c>
      <c r="D410" s="11" t="s">
        <v>434</v>
      </c>
      <c r="E410" s="12">
        <v>340</v>
      </c>
      <c r="F410" s="12"/>
      <c r="G410" s="12">
        <f>E410*F410</f>
        <v>0</v>
      </c>
      <c r="H410" s="12">
        <f t="shared" si="94"/>
        <v>0</v>
      </c>
      <c r="I410" s="12">
        <f>G410+H410</f>
        <v>0</v>
      </c>
      <c r="J410" s="12">
        <v>310</v>
      </c>
      <c r="K410" s="12">
        <f>E410-J410</f>
        <v>30</v>
      </c>
      <c r="L410" s="12">
        <f>K410*F410</f>
        <v>0</v>
      </c>
      <c r="M410" s="11"/>
    </row>
    <row r="411" spans="2:13" ht="27" customHeight="1">
      <c r="B411" s="13"/>
      <c r="C411" s="10" t="s">
        <v>99</v>
      </c>
      <c r="D411" s="11" t="s">
        <v>188</v>
      </c>
      <c r="E411" s="12">
        <v>250000</v>
      </c>
      <c r="F411" s="12"/>
      <c r="G411" s="12">
        <f>E411*F411</f>
        <v>0</v>
      </c>
      <c r="H411" s="12">
        <f t="shared" si="94"/>
        <v>0</v>
      </c>
      <c r="I411" s="12">
        <f>G411+H411</f>
        <v>0</v>
      </c>
      <c r="J411" s="12"/>
      <c r="K411" s="12">
        <f>E411-J411</f>
        <v>250000</v>
      </c>
      <c r="L411" s="12">
        <f>K411*F411</f>
        <v>0</v>
      </c>
      <c r="M411" s="11"/>
    </row>
    <row r="412" spans="2:13" ht="21" customHeight="1">
      <c r="B412" s="17"/>
      <c r="C412" s="18"/>
      <c r="D412" s="19" t="s">
        <v>156</v>
      </c>
      <c r="E412" s="20"/>
      <c r="F412" s="20"/>
      <c r="G412" s="20">
        <f>SUM(G409:G411)</f>
        <v>0</v>
      </c>
      <c r="H412" s="20">
        <f t="shared" si="94"/>
        <v>0</v>
      </c>
      <c r="I412" s="20">
        <f>SUM(I409:I411)</f>
        <v>0</v>
      </c>
      <c r="J412" s="20"/>
      <c r="K412" s="20"/>
      <c r="L412" s="20">
        <f>SUM(L409:L411)</f>
        <v>0</v>
      </c>
      <c r="M412" s="19"/>
    </row>
    <row r="413" spans="2:13" ht="27" customHeight="1">
      <c r="B413" s="27" t="s">
        <v>435</v>
      </c>
      <c r="C413" s="10" t="s">
        <v>23</v>
      </c>
      <c r="D413" s="11" t="s">
        <v>436</v>
      </c>
      <c r="E413" s="12">
        <v>620</v>
      </c>
      <c r="F413" s="12"/>
      <c r="G413" s="12">
        <f>E413*F413</f>
        <v>0</v>
      </c>
      <c r="H413" s="12">
        <f t="shared" si="94"/>
        <v>0</v>
      </c>
      <c r="I413" s="12">
        <f t="shared" ref="I413:I466" si="95">G413+H413</f>
        <v>0</v>
      </c>
      <c r="J413" s="12">
        <v>520</v>
      </c>
      <c r="K413" s="12">
        <f>E413-J413</f>
        <v>100</v>
      </c>
      <c r="L413" s="11">
        <f>F413*K413</f>
        <v>0</v>
      </c>
      <c r="M413" s="11"/>
    </row>
    <row r="414" spans="2:13" ht="27" customHeight="1">
      <c r="B414" s="30"/>
      <c r="C414" s="10" t="s">
        <v>34</v>
      </c>
      <c r="D414" s="11" t="s">
        <v>437</v>
      </c>
      <c r="E414" s="12">
        <v>16083</v>
      </c>
      <c r="F414" s="12"/>
      <c r="G414" s="12">
        <f>E414*F414</f>
        <v>0</v>
      </c>
      <c r="H414" s="12">
        <f t="shared" si="94"/>
        <v>0</v>
      </c>
      <c r="I414" s="12">
        <f t="shared" si="95"/>
        <v>0</v>
      </c>
      <c r="J414" s="12">
        <v>15300</v>
      </c>
      <c r="K414" s="12">
        <f>E414-J414</f>
        <v>783</v>
      </c>
      <c r="L414" s="11">
        <f>F414*K414</f>
        <v>0</v>
      </c>
      <c r="M414" s="11"/>
    </row>
    <row r="415" spans="2:13" ht="27" customHeight="1">
      <c r="B415" s="30"/>
      <c r="C415" s="10" t="s">
        <v>34</v>
      </c>
      <c r="D415" s="11" t="s">
        <v>438</v>
      </c>
      <c r="E415" s="12">
        <v>16083</v>
      </c>
      <c r="F415" s="12"/>
      <c r="G415" s="12">
        <f>E415*F415</f>
        <v>0</v>
      </c>
      <c r="H415" s="12">
        <f t="shared" si="94"/>
        <v>0</v>
      </c>
      <c r="I415" s="12">
        <f t="shared" si="95"/>
        <v>0</v>
      </c>
      <c r="J415" s="12">
        <v>15300</v>
      </c>
      <c r="K415" s="12">
        <f>E415-J415</f>
        <v>783</v>
      </c>
      <c r="L415" s="11">
        <f>F415*K415</f>
        <v>0</v>
      </c>
      <c r="M415" s="11"/>
    </row>
    <row r="416" spans="2:13" ht="27" customHeight="1">
      <c r="B416" s="30"/>
      <c r="C416" s="10" t="s">
        <v>34</v>
      </c>
      <c r="D416" s="11" t="s">
        <v>439</v>
      </c>
      <c r="E416" s="12">
        <v>16083</v>
      </c>
      <c r="F416" s="12"/>
      <c r="G416" s="12">
        <f>E416*F416</f>
        <v>0</v>
      </c>
      <c r="H416" s="12">
        <f t="shared" si="94"/>
        <v>0</v>
      </c>
      <c r="I416" s="12">
        <f t="shared" si="95"/>
        <v>0</v>
      </c>
      <c r="J416" s="12">
        <v>15300</v>
      </c>
      <c r="K416" s="12">
        <f>E416-J416</f>
        <v>783</v>
      </c>
      <c r="L416" s="11">
        <f>F416*K416</f>
        <v>0</v>
      </c>
      <c r="M416" s="11"/>
    </row>
    <row r="417" spans="2:13" ht="29.25" customHeight="1">
      <c r="B417" s="38"/>
      <c r="C417" s="18"/>
      <c r="D417" s="19" t="s">
        <v>405</v>
      </c>
      <c r="E417" s="20"/>
      <c r="F417" s="20"/>
      <c r="G417" s="20">
        <f>SUM(G413:G416)</f>
        <v>0</v>
      </c>
      <c r="H417" s="20">
        <f>SUM(H413:H416)</f>
        <v>0</v>
      </c>
      <c r="I417" s="20">
        <f t="shared" si="95"/>
        <v>0</v>
      </c>
      <c r="J417" s="20"/>
      <c r="K417" s="20"/>
      <c r="L417" s="20">
        <f>SUM(L413:L416)</f>
        <v>0</v>
      </c>
      <c r="M417" s="19"/>
    </row>
    <row r="418" spans="2:13" ht="27" customHeight="1">
      <c r="B418" s="27" t="s">
        <v>440</v>
      </c>
      <c r="C418" s="10" t="s">
        <v>20</v>
      </c>
      <c r="D418" s="11" t="s">
        <v>441</v>
      </c>
      <c r="E418" s="12">
        <v>1900</v>
      </c>
      <c r="F418" s="12"/>
      <c r="G418" s="12">
        <f>E418*F418</f>
        <v>0</v>
      </c>
      <c r="H418" s="12">
        <f>G418/10</f>
        <v>0</v>
      </c>
      <c r="I418" s="12">
        <f t="shared" si="95"/>
        <v>0</v>
      </c>
      <c r="J418" s="12">
        <v>1600</v>
      </c>
      <c r="K418" s="12">
        <f>E418-J418</f>
        <v>300</v>
      </c>
      <c r="L418" s="11">
        <f>F418*K418</f>
        <v>0</v>
      </c>
      <c r="M418" s="11"/>
    </row>
    <row r="419" spans="2:13" ht="27" customHeight="1">
      <c r="B419" s="13"/>
      <c r="C419" s="10" t="s">
        <v>20</v>
      </c>
      <c r="D419" s="11" t="s">
        <v>442</v>
      </c>
      <c r="E419" s="12">
        <v>1900</v>
      </c>
      <c r="F419" s="12"/>
      <c r="G419" s="12">
        <f>E419*F419</f>
        <v>0</v>
      </c>
      <c r="H419" s="12">
        <f>G419/10</f>
        <v>0</v>
      </c>
      <c r="I419" s="12">
        <f t="shared" si="95"/>
        <v>0</v>
      </c>
      <c r="J419" s="12">
        <v>1600</v>
      </c>
      <c r="K419" s="12">
        <f>E419-J419</f>
        <v>300</v>
      </c>
      <c r="L419" s="11">
        <f>F419*K419</f>
        <v>0</v>
      </c>
      <c r="M419" s="11"/>
    </row>
    <row r="420" spans="2:13" ht="27" customHeight="1">
      <c r="B420" s="13"/>
      <c r="C420" s="10" t="s">
        <v>99</v>
      </c>
      <c r="D420" s="11" t="s">
        <v>443</v>
      </c>
      <c r="E420" s="12">
        <v>840000</v>
      </c>
      <c r="F420" s="12"/>
      <c r="G420" s="12">
        <f>E420*F420</f>
        <v>0</v>
      </c>
      <c r="H420" s="12">
        <f>G420/10</f>
        <v>0</v>
      </c>
      <c r="I420" s="12">
        <f t="shared" si="95"/>
        <v>0</v>
      </c>
      <c r="J420" s="12">
        <v>0</v>
      </c>
      <c r="K420" s="12">
        <f>E420-J420</f>
        <v>840000</v>
      </c>
      <c r="L420" s="11">
        <f>F420*K420</f>
        <v>0</v>
      </c>
      <c r="M420" s="11"/>
    </row>
    <row r="421" spans="2:13" ht="27" customHeight="1">
      <c r="B421" s="17"/>
      <c r="C421" s="18"/>
      <c r="D421" s="19" t="s">
        <v>405</v>
      </c>
      <c r="E421" s="20"/>
      <c r="F421" s="20"/>
      <c r="G421" s="20">
        <f>SUM(G418:G420)</f>
        <v>0</v>
      </c>
      <c r="H421" s="20">
        <f>SUM(H418:H420)</f>
        <v>0</v>
      </c>
      <c r="I421" s="20">
        <f t="shared" si="95"/>
        <v>0</v>
      </c>
      <c r="J421" s="20"/>
      <c r="K421" s="20"/>
      <c r="L421" s="20">
        <f>SUM(L418:L420)</f>
        <v>0</v>
      </c>
      <c r="M421" s="19"/>
    </row>
    <row r="422" spans="2:13" ht="27" customHeight="1">
      <c r="B422" s="9" t="s">
        <v>444</v>
      </c>
      <c r="C422" s="10" t="s">
        <v>23</v>
      </c>
      <c r="D422" s="11" t="s">
        <v>445</v>
      </c>
      <c r="E422" s="12">
        <v>480</v>
      </c>
      <c r="F422" s="12"/>
      <c r="G422" s="12">
        <f>E422*F422</f>
        <v>0</v>
      </c>
      <c r="H422" s="12">
        <f>G422/10</f>
        <v>0</v>
      </c>
      <c r="I422" s="12">
        <f t="shared" si="95"/>
        <v>0</v>
      </c>
      <c r="J422" s="12">
        <v>430</v>
      </c>
      <c r="K422" s="12">
        <f>E422-J422</f>
        <v>50</v>
      </c>
      <c r="L422" s="11">
        <f>F422*K422</f>
        <v>0</v>
      </c>
      <c r="M422" s="11"/>
    </row>
    <row r="423" spans="2:13" ht="27" customHeight="1">
      <c r="B423" s="13"/>
      <c r="C423" s="10" t="s">
        <v>99</v>
      </c>
      <c r="D423" s="11" t="s">
        <v>151</v>
      </c>
      <c r="E423" s="12">
        <v>1</v>
      </c>
      <c r="F423" s="12"/>
      <c r="G423" s="12">
        <f>E423*F423</f>
        <v>0</v>
      </c>
      <c r="H423" s="12">
        <f>G423/10</f>
        <v>0</v>
      </c>
      <c r="I423" s="12">
        <f t="shared" si="95"/>
        <v>0</v>
      </c>
      <c r="J423" s="12"/>
      <c r="K423" s="12">
        <f>E423-J423</f>
        <v>1</v>
      </c>
      <c r="L423" s="11">
        <f>F423*K423</f>
        <v>0</v>
      </c>
      <c r="M423" s="11"/>
    </row>
    <row r="424" spans="2:13" ht="27" customHeight="1">
      <c r="B424" s="17"/>
      <c r="C424" s="18"/>
      <c r="D424" s="19" t="s">
        <v>405</v>
      </c>
      <c r="E424" s="20"/>
      <c r="F424" s="20"/>
      <c r="G424" s="20">
        <f>SUM(G422:G423)</f>
        <v>0</v>
      </c>
      <c r="H424" s="20">
        <f>SUM(H422:H423)</f>
        <v>0</v>
      </c>
      <c r="I424" s="20">
        <f t="shared" si="95"/>
        <v>0</v>
      </c>
      <c r="J424" s="20"/>
      <c r="K424" s="20"/>
      <c r="L424" s="20">
        <f>SUM(L422:L423)</f>
        <v>0</v>
      </c>
      <c r="M424" s="19"/>
    </row>
    <row r="425" spans="2:13" ht="27" customHeight="1">
      <c r="B425" s="27" t="s">
        <v>446</v>
      </c>
      <c r="C425" s="10" t="s">
        <v>23</v>
      </c>
      <c r="D425" s="11" t="s">
        <v>447</v>
      </c>
      <c r="E425" s="12">
        <v>670</v>
      </c>
      <c r="F425" s="12"/>
      <c r="G425" s="12">
        <f t="shared" ref="G425:G433" si="96">E425*F425</f>
        <v>0</v>
      </c>
      <c r="H425" s="12">
        <f t="shared" ref="H425:H433" si="97">G425/10</f>
        <v>0</v>
      </c>
      <c r="I425" s="12">
        <f t="shared" si="95"/>
        <v>0</v>
      </c>
      <c r="J425" s="12">
        <f>270+163+60</f>
        <v>493</v>
      </c>
      <c r="K425" s="12">
        <f t="shared" ref="K425:K433" si="98">E425-J425</f>
        <v>177</v>
      </c>
      <c r="L425" s="11">
        <f t="shared" ref="L425:L433" si="99">F425*K425</f>
        <v>0</v>
      </c>
      <c r="M425" s="11"/>
    </row>
    <row r="426" spans="2:13" ht="27" customHeight="1">
      <c r="B426" s="30"/>
      <c r="C426" s="10" t="s">
        <v>17</v>
      </c>
      <c r="D426" s="11" t="s">
        <v>448</v>
      </c>
      <c r="E426" s="12">
        <v>7600</v>
      </c>
      <c r="F426" s="12"/>
      <c r="G426" s="12">
        <f t="shared" si="96"/>
        <v>0</v>
      </c>
      <c r="H426" s="12">
        <f t="shared" si="97"/>
        <v>0</v>
      </c>
      <c r="I426" s="12">
        <f t="shared" si="95"/>
        <v>0</v>
      </c>
      <c r="J426" s="12">
        <v>7194</v>
      </c>
      <c r="K426" s="12">
        <f t="shared" si="98"/>
        <v>406</v>
      </c>
      <c r="L426" s="11">
        <f t="shared" si="99"/>
        <v>0</v>
      </c>
      <c r="M426" s="11" t="s">
        <v>449</v>
      </c>
    </row>
    <row r="427" spans="2:13" ht="27" customHeight="1">
      <c r="B427" s="30"/>
      <c r="C427" s="10" t="s">
        <v>17</v>
      </c>
      <c r="D427" s="11" t="s">
        <v>450</v>
      </c>
      <c r="E427" s="12">
        <v>7600</v>
      </c>
      <c r="F427" s="12"/>
      <c r="G427" s="12">
        <f t="shared" si="96"/>
        <v>0</v>
      </c>
      <c r="H427" s="12">
        <f t="shared" si="97"/>
        <v>0</v>
      </c>
      <c r="I427" s="12">
        <f t="shared" si="95"/>
        <v>0</v>
      </c>
      <c r="J427" s="12">
        <v>7194</v>
      </c>
      <c r="K427" s="12">
        <f t="shared" si="98"/>
        <v>406</v>
      </c>
      <c r="L427" s="11">
        <f t="shared" si="99"/>
        <v>0</v>
      </c>
      <c r="M427" s="11" t="s">
        <v>449</v>
      </c>
    </row>
    <row r="428" spans="2:13" ht="27" customHeight="1">
      <c r="B428" s="30"/>
      <c r="C428" s="10" t="s">
        <v>17</v>
      </c>
      <c r="D428" s="11" t="s">
        <v>451</v>
      </c>
      <c r="E428" s="12">
        <v>7600</v>
      </c>
      <c r="F428" s="12"/>
      <c r="G428" s="12">
        <f t="shared" si="96"/>
        <v>0</v>
      </c>
      <c r="H428" s="12">
        <f t="shared" si="97"/>
        <v>0</v>
      </c>
      <c r="I428" s="12">
        <f t="shared" si="95"/>
        <v>0</v>
      </c>
      <c r="J428" s="12">
        <v>7194</v>
      </c>
      <c r="K428" s="12">
        <f t="shared" si="98"/>
        <v>406</v>
      </c>
      <c r="L428" s="11">
        <f t="shared" si="99"/>
        <v>0</v>
      </c>
      <c r="M428" s="11" t="s">
        <v>452</v>
      </c>
    </row>
    <row r="429" spans="2:13" ht="27" customHeight="1">
      <c r="B429" s="30"/>
      <c r="C429" s="10" t="s">
        <v>17</v>
      </c>
      <c r="D429" s="11" t="s">
        <v>453</v>
      </c>
      <c r="E429" s="12">
        <v>7600</v>
      </c>
      <c r="F429" s="12"/>
      <c r="G429" s="12">
        <f t="shared" si="96"/>
        <v>0</v>
      </c>
      <c r="H429" s="12">
        <f t="shared" si="97"/>
        <v>0</v>
      </c>
      <c r="I429" s="12">
        <f t="shared" si="95"/>
        <v>0</v>
      </c>
      <c r="J429" s="12">
        <v>7194</v>
      </c>
      <c r="K429" s="12">
        <f t="shared" si="98"/>
        <v>406</v>
      </c>
      <c r="L429" s="11">
        <f t="shared" si="99"/>
        <v>0</v>
      </c>
      <c r="M429" s="11" t="s">
        <v>452</v>
      </c>
    </row>
    <row r="430" spans="2:13" ht="27" customHeight="1">
      <c r="B430" s="30"/>
      <c r="C430" s="10" t="s">
        <v>14</v>
      </c>
      <c r="D430" s="11" t="s">
        <v>454</v>
      </c>
      <c r="E430" s="12">
        <v>9600</v>
      </c>
      <c r="F430" s="12"/>
      <c r="G430" s="12">
        <f t="shared" si="96"/>
        <v>0</v>
      </c>
      <c r="H430" s="12">
        <f t="shared" si="97"/>
        <v>0</v>
      </c>
      <c r="I430" s="12">
        <f t="shared" si="95"/>
        <v>0</v>
      </c>
      <c r="J430" s="12">
        <v>7700</v>
      </c>
      <c r="K430" s="12">
        <f t="shared" si="98"/>
        <v>1900</v>
      </c>
      <c r="L430" s="11">
        <f t="shared" si="99"/>
        <v>0</v>
      </c>
      <c r="M430" s="11" t="s">
        <v>452</v>
      </c>
    </row>
    <row r="431" spans="2:13" ht="27" customHeight="1">
      <c r="B431" s="30"/>
      <c r="C431" s="10" t="s">
        <v>14</v>
      </c>
      <c r="D431" s="11" t="s">
        <v>226</v>
      </c>
      <c r="E431" s="12">
        <v>12000</v>
      </c>
      <c r="F431" s="12"/>
      <c r="G431" s="12">
        <f t="shared" si="96"/>
        <v>0</v>
      </c>
      <c r="H431" s="12">
        <f t="shared" si="97"/>
        <v>0</v>
      </c>
      <c r="I431" s="12">
        <f t="shared" si="95"/>
        <v>0</v>
      </c>
      <c r="J431" s="12">
        <v>9000</v>
      </c>
      <c r="K431" s="12">
        <f t="shared" si="98"/>
        <v>3000</v>
      </c>
      <c r="L431" s="11">
        <f t="shared" si="99"/>
        <v>0</v>
      </c>
      <c r="M431" s="11" t="s">
        <v>452</v>
      </c>
    </row>
    <row r="432" spans="2:13" ht="27" customHeight="1">
      <c r="B432" s="30"/>
      <c r="C432" s="10" t="s">
        <v>23</v>
      </c>
      <c r="D432" s="11" t="s">
        <v>455</v>
      </c>
      <c r="E432" s="12">
        <v>680</v>
      </c>
      <c r="F432" s="12"/>
      <c r="G432" s="12">
        <f t="shared" si="96"/>
        <v>0</v>
      </c>
      <c r="H432" s="12">
        <f t="shared" si="97"/>
        <v>0</v>
      </c>
      <c r="I432" s="12">
        <f t="shared" si="95"/>
        <v>0</v>
      </c>
      <c r="J432" s="12">
        <v>493</v>
      </c>
      <c r="K432" s="12">
        <f t="shared" si="98"/>
        <v>187</v>
      </c>
      <c r="L432" s="11">
        <f t="shared" si="99"/>
        <v>0</v>
      </c>
      <c r="M432" s="11" t="s">
        <v>452</v>
      </c>
    </row>
    <row r="433" spans="2:13" ht="27" customHeight="1">
      <c r="B433" s="30"/>
      <c r="C433" s="10" t="s">
        <v>23</v>
      </c>
      <c r="D433" s="11" t="s">
        <v>456</v>
      </c>
      <c r="E433" s="12">
        <v>380</v>
      </c>
      <c r="F433" s="12"/>
      <c r="G433" s="12">
        <f t="shared" si="96"/>
        <v>0</v>
      </c>
      <c r="H433" s="12">
        <f t="shared" si="97"/>
        <v>0</v>
      </c>
      <c r="I433" s="12">
        <f t="shared" si="95"/>
        <v>0</v>
      </c>
      <c r="J433" s="12">
        <v>320</v>
      </c>
      <c r="K433" s="12">
        <f t="shared" si="98"/>
        <v>60</v>
      </c>
      <c r="L433" s="11">
        <f t="shared" si="99"/>
        <v>0</v>
      </c>
      <c r="M433" s="11" t="s">
        <v>452</v>
      </c>
    </row>
    <row r="434" spans="2:13" ht="27" customHeight="1">
      <c r="B434" s="38"/>
      <c r="C434" s="18"/>
      <c r="D434" s="19" t="s">
        <v>405</v>
      </c>
      <c r="E434" s="20"/>
      <c r="F434" s="20"/>
      <c r="G434" s="20">
        <f>SUM(G425:G433)</f>
        <v>0</v>
      </c>
      <c r="H434" s="20">
        <f>SUM(H425:H433)</f>
        <v>0</v>
      </c>
      <c r="I434" s="20">
        <f t="shared" si="95"/>
        <v>0</v>
      </c>
      <c r="J434" s="20"/>
      <c r="K434" s="20"/>
      <c r="L434" s="20">
        <f>SUM(L425:L433)</f>
        <v>0</v>
      </c>
      <c r="M434" s="19"/>
    </row>
    <row r="435" spans="2:13" ht="27" customHeight="1">
      <c r="B435" s="9" t="s">
        <v>457</v>
      </c>
      <c r="C435" s="10" t="s">
        <v>23</v>
      </c>
      <c r="D435" s="11" t="s">
        <v>458</v>
      </c>
      <c r="E435" s="12">
        <v>370</v>
      </c>
      <c r="F435" s="12"/>
      <c r="G435" s="12">
        <f>E435*F435</f>
        <v>0</v>
      </c>
      <c r="H435" s="12">
        <f>G435/10</f>
        <v>0</v>
      </c>
      <c r="I435" s="12">
        <f t="shared" si="95"/>
        <v>0</v>
      </c>
      <c r="J435" s="12">
        <v>290</v>
      </c>
      <c r="K435" s="12">
        <f>E435-J435</f>
        <v>80</v>
      </c>
      <c r="L435" s="11">
        <f>F435*K435</f>
        <v>0</v>
      </c>
      <c r="M435" s="11"/>
    </row>
    <row r="436" spans="2:13" ht="27" customHeight="1">
      <c r="B436" s="13"/>
      <c r="C436" s="10" t="s">
        <v>23</v>
      </c>
      <c r="D436" s="11" t="s">
        <v>459</v>
      </c>
      <c r="E436" s="12">
        <v>650</v>
      </c>
      <c r="F436" s="12"/>
      <c r="G436" s="12">
        <f>E436*F436</f>
        <v>0</v>
      </c>
      <c r="H436" s="12">
        <f>G436/10</f>
        <v>0</v>
      </c>
      <c r="I436" s="12">
        <f t="shared" si="95"/>
        <v>0</v>
      </c>
      <c r="J436" s="12">
        <v>450</v>
      </c>
      <c r="K436" s="12">
        <f>E436-J436</f>
        <v>200</v>
      </c>
      <c r="L436" s="11">
        <f>F436*K436</f>
        <v>0</v>
      </c>
      <c r="M436" s="11"/>
    </row>
    <row r="437" spans="2:13" ht="27" customHeight="1">
      <c r="B437" s="13"/>
      <c r="C437" s="10" t="s">
        <v>23</v>
      </c>
      <c r="D437" s="11" t="s">
        <v>460</v>
      </c>
      <c r="E437" s="12">
        <v>370</v>
      </c>
      <c r="F437" s="12"/>
      <c r="G437" s="12">
        <f>E437*F437</f>
        <v>0</v>
      </c>
      <c r="H437" s="12">
        <f>G437/10</f>
        <v>0</v>
      </c>
      <c r="I437" s="12">
        <f t="shared" si="95"/>
        <v>0</v>
      </c>
      <c r="J437" s="12">
        <v>290</v>
      </c>
      <c r="K437" s="12">
        <f>E437-J437</f>
        <v>80</v>
      </c>
      <c r="L437" s="11">
        <f>F437*K437</f>
        <v>0</v>
      </c>
      <c r="M437" s="11"/>
    </row>
    <row r="438" spans="2:13" ht="27" customHeight="1">
      <c r="B438" s="13"/>
      <c r="C438" s="10" t="s">
        <v>99</v>
      </c>
      <c r="D438" s="11" t="s">
        <v>188</v>
      </c>
      <c r="E438" s="12">
        <v>250000</v>
      </c>
      <c r="F438" s="12"/>
      <c r="G438" s="12">
        <f>E438*F438</f>
        <v>0</v>
      </c>
      <c r="H438" s="12">
        <f>G438/10</f>
        <v>0</v>
      </c>
      <c r="I438" s="12">
        <f t="shared" si="95"/>
        <v>0</v>
      </c>
      <c r="J438" s="12"/>
      <c r="K438" s="12">
        <f>E438-J438</f>
        <v>250000</v>
      </c>
      <c r="L438" s="11">
        <f>F438*K438</f>
        <v>0</v>
      </c>
      <c r="M438" s="11"/>
    </row>
    <row r="439" spans="2:13" ht="27" customHeight="1">
      <c r="B439" s="13"/>
      <c r="C439" s="10" t="s">
        <v>45</v>
      </c>
      <c r="D439" s="11" t="s">
        <v>461</v>
      </c>
      <c r="E439" s="12">
        <v>160</v>
      </c>
      <c r="F439" s="12"/>
      <c r="G439" s="12">
        <f>E439*F439</f>
        <v>0</v>
      </c>
      <c r="H439" s="12">
        <f>G439/10</f>
        <v>0</v>
      </c>
      <c r="I439" s="12">
        <f t="shared" si="95"/>
        <v>0</v>
      </c>
      <c r="J439" s="12">
        <v>96</v>
      </c>
      <c r="K439" s="12">
        <f>E439-J439</f>
        <v>64</v>
      </c>
      <c r="L439" s="11">
        <f>F439*K439</f>
        <v>0</v>
      </c>
      <c r="M439" s="11"/>
    </row>
    <row r="440" spans="2:13" ht="27" customHeight="1">
      <c r="B440" s="17"/>
      <c r="C440" s="18"/>
      <c r="D440" s="19" t="s">
        <v>405</v>
      </c>
      <c r="E440" s="20"/>
      <c r="F440" s="20"/>
      <c r="G440" s="20">
        <f>SUM(G435:G439)</f>
        <v>0</v>
      </c>
      <c r="H440" s="20">
        <f>SUM(H435:H439)</f>
        <v>0</v>
      </c>
      <c r="I440" s="20">
        <f t="shared" si="95"/>
        <v>0</v>
      </c>
      <c r="J440" s="20"/>
      <c r="K440" s="20"/>
      <c r="L440" s="20">
        <f>SUM(L435:L439)</f>
        <v>0</v>
      </c>
      <c r="M440" s="19"/>
    </row>
    <row r="441" spans="2:13" ht="27" customHeight="1">
      <c r="B441" s="9" t="s">
        <v>462</v>
      </c>
      <c r="C441" s="10" t="s">
        <v>45</v>
      </c>
      <c r="D441" s="11" t="s">
        <v>463</v>
      </c>
      <c r="E441" s="12">
        <v>22000</v>
      </c>
      <c r="F441" s="12"/>
      <c r="G441" s="12">
        <f>E441*F441</f>
        <v>0</v>
      </c>
      <c r="H441" s="12">
        <f>G441/10</f>
        <v>0</v>
      </c>
      <c r="I441" s="12">
        <f t="shared" si="95"/>
        <v>0</v>
      </c>
      <c r="J441" s="12">
        <v>19100</v>
      </c>
      <c r="K441" s="12">
        <f>E441-J441</f>
        <v>2900</v>
      </c>
      <c r="L441" s="11">
        <f>F441*K441</f>
        <v>0</v>
      </c>
      <c r="M441" s="11"/>
    </row>
    <row r="442" spans="2:13" ht="27" customHeight="1">
      <c r="B442" s="13"/>
      <c r="C442" s="10" t="s">
        <v>45</v>
      </c>
      <c r="D442" s="11" t="s">
        <v>464</v>
      </c>
      <c r="E442" s="12">
        <v>19000</v>
      </c>
      <c r="F442" s="12"/>
      <c r="G442" s="12">
        <f>E442*F442</f>
        <v>0</v>
      </c>
      <c r="H442" s="12">
        <f>G442/10</f>
        <v>0</v>
      </c>
      <c r="I442" s="12">
        <f t="shared" si="95"/>
        <v>0</v>
      </c>
      <c r="J442" s="12">
        <v>16702</v>
      </c>
      <c r="K442" s="12">
        <f>E442-J442</f>
        <v>2298</v>
      </c>
      <c r="L442" s="11">
        <f>F442*K442</f>
        <v>0</v>
      </c>
      <c r="M442" s="11"/>
    </row>
    <row r="443" spans="2:13" ht="27" customHeight="1">
      <c r="B443" s="13"/>
      <c r="C443" s="10" t="s">
        <v>45</v>
      </c>
      <c r="D443" s="11" t="s">
        <v>465</v>
      </c>
      <c r="E443" s="12">
        <v>2000</v>
      </c>
      <c r="F443" s="12"/>
      <c r="G443" s="12">
        <f>E443*F443</f>
        <v>0</v>
      </c>
      <c r="H443" s="12">
        <f>G443/10</f>
        <v>0</v>
      </c>
      <c r="I443" s="12">
        <f t="shared" si="95"/>
        <v>0</v>
      </c>
      <c r="J443" s="12">
        <v>1580</v>
      </c>
      <c r="K443" s="12">
        <f>E443-J443</f>
        <v>420</v>
      </c>
      <c r="L443" s="11">
        <f>F443*K443</f>
        <v>0</v>
      </c>
      <c r="M443" s="11"/>
    </row>
    <row r="444" spans="2:13" ht="27" customHeight="1">
      <c r="B444" s="13"/>
      <c r="C444" s="10" t="s">
        <v>45</v>
      </c>
      <c r="D444" s="11" t="s">
        <v>466</v>
      </c>
      <c r="E444" s="12"/>
      <c r="F444" s="12"/>
      <c r="G444" s="12">
        <f>E444*F444</f>
        <v>0</v>
      </c>
      <c r="H444" s="12">
        <f>G444/10</f>
        <v>0</v>
      </c>
      <c r="I444" s="12">
        <f t="shared" si="95"/>
        <v>0</v>
      </c>
      <c r="J444" s="12">
        <v>1020</v>
      </c>
      <c r="K444" s="12">
        <f>E444-J444</f>
        <v>-1020</v>
      </c>
      <c r="L444" s="11">
        <f>F444*K444</f>
        <v>0</v>
      </c>
      <c r="M444" s="11"/>
    </row>
    <row r="445" spans="2:13" ht="27" customHeight="1">
      <c r="B445" s="17"/>
      <c r="C445" s="18"/>
      <c r="D445" s="19" t="s">
        <v>405</v>
      </c>
      <c r="E445" s="20"/>
      <c r="F445" s="20"/>
      <c r="G445" s="20">
        <f>SUM(G441:G444)</f>
        <v>0</v>
      </c>
      <c r="H445" s="20">
        <f>SUM(H441:H444)</f>
        <v>0</v>
      </c>
      <c r="I445" s="20">
        <f t="shared" si="95"/>
        <v>0</v>
      </c>
      <c r="J445" s="20"/>
      <c r="K445" s="20"/>
      <c r="L445" s="20">
        <f>SUM(L441:L444)</f>
        <v>0</v>
      </c>
      <c r="M445" s="19"/>
    </row>
    <row r="446" spans="2:13" ht="27" customHeight="1">
      <c r="B446" s="9" t="s">
        <v>467</v>
      </c>
      <c r="C446" s="10" t="s">
        <v>23</v>
      </c>
      <c r="D446" s="11" t="s">
        <v>468</v>
      </c>
      <c r="E446" s="12">
        <v>370</v>
      </c>
      <c r="F446" s="12"/>
      <c r="G446" s="12">
        <f>E446*F446</f>
        <v>0</v>
      </c>
      <c r="H446" s="12">
        <f>G446/10</f>
        <v>0</v>
      </c>
      <c r="I446" s="12">
        <f t="shared" si="95"/>
        <v>0</v>
      </c>
      <c r="J446" s="12">
        <v>320</v>
      </c>
      <c r="K446" s="12">
        <f>E446-J446</f>
        <v>50</v>
      </c>
      <c r="L446" s="11">
        <f>F446*K446</f>
        <v>0</v>
      </c>
      <c r="M446" s="11"/>
    </row>
    <row r="447" spans="2:13" ht="27" customHeight="1">
      <c r="B447" s="13"/>
      <c r="C447" s="10" t="s">
        <v>23</v>
      </c>
      <c r="D447" s="11" t="s">
        <v>469</v>
      </c>
      <c r="E447" s="12">
        <v>500</v>
      </c>
      <c r="F447" s="12"/>
      <c r="G447" s="12">
        <f>E447*F447</f>
        <v>0</v>
      </c>
      <c r="H447" s="12">
        <f>G447/10</f>
        <v>0</v>
      </c>
      <c r="I447" s="12">
        <f t="shared" si="95"/>
        <v>0</v>
      </c>
      <c r="J447" s="12">
        <v>450</v>
      </c>
      <c r="K447" s="12">
        <f>E447-J447</f>
        <v>50</v>
      </c>
      <c r="L447" s="11">
        <f>F447*K447</f>
        <v>0</v>
      </c>
      <c r="M447" s="11"/>
    </row>
    <row r="448" spans="2:13" ht="27" customHeight="1">
      <c r="B448" s="13"/>
      <c r="C448" s="10" t="s">
        <v>99</v>
      </c>
      <c r="D448" s="11" t="s">
        <v>188</v>
      </c>
      <c r="E448" s="12">
        <v>250000</v>
      </c>
      <c r="F448" s="12"/>
      <c r="G448" s="12">
        <f>E448*F448</f>
        <v>0</v>
      </c>
      <c r="H448" s="12">
        <f>G448/10</f>
        <v>0</v>
      </c>
      <c r="I448" s="12">
        <f t="shared" si="95"/>
        <v>0</v>
      </c>
      <c r="J448" s="12"/>
      <c r="K448" s="12">
        <f>E448-J448</f>
        <v>250000</v>
      </c>
      <c r="L448" s="11">
        <f>F448*K448</f>
        <v>0</v>
      </c>
      <c r="M448" s="11"/>
    </row>
    <row r="449" spans="2:13" ht="27" customHeight="1">
      <c r="B449" s="13"/>
      <c r="C449" s="10" t="s">
        <v>23</v>
      </c>
      <c r="D449" s="11" t="s">
        <v>470</v>
      </c>
      <c r="E449" s="12">
        <v>330</v>
      </c>
      <c r="F449" s="12"/>
      <c r="G449" s="12">
        <f>E449*F449</f>
        <v>0</v>
      </c>
      <c r="H449" s="12">
        <f>G449/10</f>
        <v>0</v>
      </c>
      <c r="I449" s="12">
        <f t="shared" si="95"/>
        <v>0</v>
      </c>
      <c r="J449" s="12">
        <v>260</v>
      </c>
      <c r="K449" s="12">
        <f>E449-J449</f>
        <v>70</v>
      </c>
      <c r="L449" s="11">
        <f>F449*K449</f>
        <v>0</v>
      </c>
      <c r="M449" s="11"/>
    </row>
    <row r="450" spans="2:13" ht="27" customHeight="1">
      <c r="B450" s="17"/>
      <c r="C450" s="18"/>
      <c r="D450" s="19" t="s">
        <v>405</v>
      </c>
      <c r="E450" s="20"/>
      <c r="F450" s="20"/>
      <c r="G450" s="20">
        <f>SUM(G444:G449)</f>
        <v>0</v>
      </c>
      <c r="H450" s="20">
        <f>SUM(H446:H449)</f>
        <v>0</v>
      </c>
      <c r="I450" s="20">
        <f t="shared" si="95"/>
        <v>0</v>
      </c>
      <c r="J450" s="20"/>
      <c r="K450" s="20"/>
      <c r="L450" s="20">
        <f>SUM(L446:L449)</f>
        <v>0</v>
      </c>
      <c r="M450" s="19"/>
    </row>
    <row r="451" spans="2:13" ht="27" customHeight="1">
      <c r="B451" s="9" t="s">
        <v>471</v>
      </c>
      <c r="C451" s="10" t="s">
        <v>23</v>
      </c>
      <c r="D451" s="11" t="s">
        <v>472</v>
      </c>
      <c r="E451" s="12">
        <v>165</v>
      </c>
      <c r="F451" s="12"/>
      <c r="G451" s="12">
        <f>E451*F451</f>
        <v>0</v>
      </c>
      <c r="H451" s="12">
        <f>G451/10</f>
        <v>0</v>
      </c>
      <c r="I451" s="12">
        <f t="shared" si="95"/>
        <v>0</v>
      </c>
      <c r="J451" s="12"/>
      <c r="K451" s="12">
        <f>E451-J451</f>
        <v>165</v>
      </c>
      <c r="L451" s="11">
        <f>F451*K451</f>
        <v>0</v>
      </c>
      <c r="M451" s="11" t="s">
        <v>473</v>
      </c>
    </row>
    <row r="452" spans="2:13" ht="27" customHeight="1">
      <c r="B452" s="13"/>
      <c r="C452" s="10"/>
      <c r="D452" s="11"/>
      <c r="E452" s="12"/>
      <c r="F452" s="12"/>
      <c r="G452" s="12">
        <f>E452*F452</f>
        <v>0</v>
      </c>
      <c r="H452" s="12">
        <f>G452/10</f>
        <v>0</v>
      </c>
      <c r="I452" s="12">
        <f t="shared" si="95"/>
        <v>0</v>
      </c>
      <c r="J452" s="12"/>
      <c r="K452" s="12"/>
      <c r="L452" s="11"/>
      <c r="M452" s="11"/>
    </row>
    <row r="453" spans="2:13" ht="27" customHeight="1">
      <c r="B453" s="17"/>
      <c r="C453" s="18"/>
      <c r="D453" s="19" t="s">
        <v>405</v>
      </c>
      <c r="E453" s="20"/>
      <c r="F453" s="20"/>
      <c r="G453" s="20"/>
      <c r="H453" s="20">
        <f>SUM(H451:H452)</f>
        <v>0</v>
      </c>
      <c r="I453" s="20">
        <f t="shared" si="95"/>
        <v>0</v>
      </c>
      <c r="J453" s="20"/>
      <c r="K453" s="20"/>
      <c r="L453" s="20">
        <f>SUM(L451:L452)</f>
        <v>0</v>
      </c>
      <c r="M453" s="19"/>
    </row>
    <row r="454" spans="2:13" ht="27" customHeight="1">
      <c r="B454" s="9" t="s">
        <v>474</v>
      </c>
      <c r="C454" s="10" t="s">
        <v>23</v>
      </c>
      <c r="D454" s="11" t="s">
        <v>475</v>
      </c>
      <c r="E454" s="12">
        <v>150</v>
      </c>
      <c r="F454" s="12"/>
      <c r="G454" s="12">
        <f>E454*F454</f>
        <v>0</v>
      </c>
      <c r="H454" s="12">
        <f>G454/10</f>
        <v>0</v>
      </c>
      <c r="I454" s="12">
        <f t="shared" si="95"/>
        <v>0</v>
      </c>
      <c r="J454" s="12">
        <v>120</v>
      </c>
      <c r="K454" s="12">
        <f>E454-J454</f>
        <v>30</v>
      </c>
      <c r="L454" s="11">
        <f>F454*K454</f>
        <v>0</v>
      </c>
      <c r="M454" s="11"/>
    </row>
    <row r="455" spans="2:13" ht="27" customHeight="1">
      <c r="B455" s="13"/>
      <c r="C455" s="10"/>
      <c r="D455" s="11"/>
      <c r="E455" s="12"/>
      <c r="F455" s="12"/>
      <c r="G455" s="12">
        <f>E455*F455</f>
        <v>0</v>
      </c>
      <c r="H455" s="12">
        <f>G455/10</f>
        <v>0</v>
      </c>
      <c r="I455" s="12">
        <f t="shared" si="95"/>
        <v>0</v>
      </c>
      <c r="J455" s="12"/>
      <c r="K455" s="12"/>
      <c r="L455" s="11"/>
      <c r="M455" s="11"/>
    </row>
    <row r="456" spans="2:13" ht="27" customHeight="1">
      <c r="B456" s="17"/>
      <c r="C456" s="18"/>
      <c r="D456" s="19" t="s">
        <v>405</v>
      </c>
      <c r="E456" s="20"/>
      <c r="F456" s="20"/>
      <c r="G456" s="20"/>
      <c r="H456" s="20">
        <f>SUM(H454:H455)</f>
        <v>0</v>
      </c>
      <c r="I456" s="20">
        <f t="shared" si="95"/>
        <v>0</v>
      </c>
      <c r="J456" s="20"/>
      <c r="K456" s="20"/>
      <c r="L456" s="20">
        <f>SUM(L454:L455)</f>
        <v>0</v>
      </c>
      <c r="M456" s="19"/>
    </row>
    <row r="457" spans="2:13" ht="27" customHeight="1">
      <c r="B457" s="9" t="s">
        <v>476</v>
      </c>
      <c r="C457" s="10" t="s">
        <v>23</v>
      </c>
      <c r="D457" s="11" t="s">
        <v>477</v>
      </c>
      <c r="E457" s="12">
        <v>165</v>
      </c>
      <c r="F457" s="12"/>
      <c r="G457" s="12">
        <f>E457*F457</f>
        <v>0</v>
      </c>
      <c r="H457" s="12">
        <f>G457/10</f>
        <v>0</v>
      </c>
      <c r="I457" s="12">
        <f t="shared" si="95"/>
        <v>0</v>
      </c>
      <c r="J457" s="12">
        <v>120</v>
      </c>
      <c r="K457" s="12">
        <f>E457-J457</f>
        <v>45</v>
      </c>
      <c r="L457" s="11">
        <f>F457*K457</f>
        <v>0</v>
      </c>
      <c r="M457" s="11"/>
    </row>
    <row r="458" spans="2:13" ht="27" customHeight="1">
      <c r="B458" s="13"/>
      <c r="C458" s="10" t="s">
        <v>23</v>
      </c>
      <c r="D458" s="11" t="s">
        <v>478</v>
      </c>
      <c r="E458" s="12">
        <v>165</v>
      </c>
      <c r="F458" s="12"/>
      <c r="G458" s="12">
        <f>E458*F458</f>
        <v>0</v>
      </c>
      <c r="H458" s="12">
        <f>G458/10</f>
        <v>0</v>
      </c>
      <c r="I458" s="12">
        <f t="shared" si="95"/>
        <v>0</v>
      </c>
      <c r="J458" s="12">
        <v>123.5</v>
      </c>
      <c r="K458" s="12">
        <f>E458-J458</f>
        <v>41.5</v>
      </c>
      <c r="L458" s="11">
        <f>F458*K458</f>
        <v>0</v>
      </c>
      <c r="M458" s="11"/>
    </row>
    <row r="459" spans="2:13" ht="27" customHeight="1">
      <c r="B459" s="13"/>
      <c r="C459" s="10" t="s">
        <v>23</v>
      </c>
      <c r="D459" s="11" t="s">
        <v>479</v>
      </c>
      <c r="E459" s="12">
        <v>165</v>
      </c>
      <c r="F459" s="12"/>
      <c r="G459" s="12">
        <f>E459*F459</f>
        <v>0</v>
      </c>
      <c r="H459" s="12">
        <f>G459/10</f>
        <v>0</v>
      </c>
      <c r="I459" s="12">
        <f t="shared" si="95"/>
        <v>0</v>
      </c>
      <c r="J459" s="12">
        <v>123.5</v>
      </c>
      <c r="K459" s="12">
        <f>E459-J459</f>
        <v>41.5</v>
      </c>
      <c r="L459" s="11">
        <f>F459*K459</f>
        <v>0</v>
      </c>
      <c r="M459" s="11"/>
    </row>
    <row r="460" spans="2:13" ht="27" customHeight="1">
      <c r="B460" s="17"/>
      <c r="C460" s="18"/>
      <c r="D460" s="19" t="s">
        <v>405</v>
      </c>
      <c r="E460" s="20"/>
      <c r="F460" s="20"/>
      <c r="G460" s="20">
        <f>SUM(G457:G459)</f>
        <v>0</v>
      </c>
      <c r="H460" s="20">
        <f>SUM(H457:H459)</f>
        <v>0</v>
      </c>
      <c r="I460" s="20">
        <f t="shared" si="95"/>
        <v>0</v>
      </c>
      <c r="J460" s="20"/>
      <c r="K460" s="20"/>
      <c r="L460" s="20">
        <f>SUM(L457:L459)</f>
        <v>0</v>
      </c>
      <c r="M460" s="19"/>
    </row>
    <row r="461" spans="2:13" ht="27" customHeight="1">
      <c r="B461" s="9" t="s">
        <v>480</v>
      </c>
      <c r="C461" s="10" t="s">
        <v>45</v>
      </c>
      <c r="D461" s="11" t="s">
        <v>230</v>
      </c>
      <c r="E461" s="12">
        <v>6500</v>
      </c>
      <c r="F461" s="12"/>
      <c r="G461" s="12">
        <f t="shared" ref="G461:G466" si="100">E461*F461</f>
        <v>0</v>
      </c>
      <c r="H461" s="12">
        <f t="shared" ref="H461:H466" si="101">G461/10</f>
        <v>0</v>
      </c>
      <c r="I461" s="12">
        <f t="shared" si="95"/>
        <v>0</v>
      </c>
      <c r="J461" s="12">
        <v>4000</v>
      </c>
      <c r="K461" s="12">
        <f>E461-J461</f>
        <v>2500</v>
      </c>
      <c r="L461" s="11">
        <f t="shared" ref="L461:L466" si="102">F461*K461</f>
        <v>0</v>
      </c>
      <c r="M461" s="11"/>
    </row>
    <row r="462" spans="2:13" ht="27" customHeight="1">
      <c r="B462" s="13"/>
      <c r="C462" s="10" t="s">
        <v>45</v>
      </c>
      <c r="D462" s="11" t="s">
        <v>481</v>
      </c>
      <c r="E462" s="37"/>
      <c r="F462" s="12"/>
      <c r="G462" s="12">
        <f t="shared" si="100"/>
        <v>0</v>
      </c>
      <c r="H462" s="12">
        <f t="shared" si="101"/>
        <v>0</v>
      </c>
      <c r="I462" s="12">
        <f t="shared" si="95"/>
        <v>0</v>
      </c>
      <c r="J462" s="12">
        <v>1260</v>
      </c>
      <c r="K462" s="12"/>
      <c r="L462" s="11">
        <f t="shared" si="102"/>
        <v>0</v>
      </c>
      <c r="M462" s="11"/>
    </row>
    <row r="463" spans="2:13" ht="27" customHeight="1">
      <c r="B463" s="13"/>
      <c r="C463" s="10" t="s">
        <v>45</v>
      </c>
      <c r="D463" s="11" t="s">
        <v>482</v>
      </c>
      <c r="E463" s="12">
        <v>1400</v>
      </c>
      <c r="F463" s="12"/>
      <c r="G463" s="12">
        <f t="shared" si="100"/>
        <v>0</v>
      </c>
      <c r="H463" s="12">
        <f t="shared" si="101"/>
        <v>0</v>
      </c>
      <c r="I463" s="12">
        <f t="shared" si="95"/>
        <v>0</v>
      </c>
      <c r="J463" s="12">
        <v>890</v>
      </c>
      <c r="K463" s="12">
        <f>E463-J463</f>
        <v>510</v>
      </c>
      <c r="L463" s="11">
        <f t="shared" si="102"/>
        <v>0</v>
      </c>
      <c r="M463" s="11"/>
    </row>
    <row r="464" spans="2:13" ht="27" customHeight="1">
      <c r="B464" s="13"/>
      <c r="C464" s="10" t="s">
        <v>23</v>
      </c>
      <c r="D464" s="11" t="s">
        <v>483</v>
      </c>
      <c r="E464" s="12">
        <v>570</v>
      </c>
      <c r="F464" s="12"/>
      <c r="G464" s="12">
        <f t="shared" si="100"/>
        <v>0</v>
      </c>
      <c r="H464" s="12">
        <f t="shared" si="101"/>
        <v>0</v>
      </c>
      <c r="I464" s="12">
        <f t="shared" si="95"/>
        <v>0</v>
      </c>
      <c r="J464" s="12">
        <v>444</v>
      </c>
      <c r="K464" s="12">
        <f>E464-J464</f>
        <v>126</v>
      </c>
      <c r="L464" s="11">
        <f t="shared" si="102"/>
        <v>0</v>
      </c>
      <c r="M464" s="11"/>
    </row>
    <row r="465" spans="2:13" ht="27" customHeight="1">
      <c r="B465" s="13"/>
      <c r="C465" s="10" t="s">
        <v>23</v>
      </c>
      <c r="D465" s="11" t="s">
        <v>484</v>
      </c>
      <c r="E465" s="12">
        <v>520</v>
      </c>
      <c r="F465" s="12"/>
      <c r="G465" s="12">
        <f t="shared" si="100"/>
        <v>0</v>
      </c>
      <c r="H465" s="12">
        <f t="shared" si="101"/>
        <v>0</v>
      </c>
      <c r="I465" s="12">
        <f t="shared" si="95"/>
        <v>0</v>
      </c>
      <c r="J465" s="12">
        <v>340</v>
      </c>
      <c r="K465" s="12">
        <f>E465-J465</f>
        <v>180</v>
      </c>
      <c r="L465" s="11">
        <f t="shared" si="102"/>
        <v>0</v>
      </c>
      <c r="M465" s="11"/>
    </row>
    <row r="466" spans="2:13" ht="27" customHeight="1">
      <c r="B466" s="13"/>
      <c r="C466" s="10" t="s">
        <v>99</v>
      </c>
      <c r="D466" s="11" t="s">
        <v>188</v>
      </c>
      <c r="E466" s="12">
        <v>700000</v>
      </c>
      <c r="F466" s="12"/>
      <c r="G466" s="12">
        <f t="shared" si="100"/>
        <v>0</v>
      </c>
      <c r="H466" s="12">
        <f t="shared" si="101"/>
        <v>0</v>
      </c>
      <c r="I466" s="12">
        <f t="shared" si="95"/>
        <v>0</v>
      </c>
      <c r="J466" s="12"/>
      <c r="K466" s="12">
        <f>E466-J466</f>
        <v>700000</v>
      </c>
      <c r="L466" s="11">
        <f t="shared" si="102"/>
        <v>0</v>
      </c>
      <c r="M466" s="11"/>
    </row>
    <row r="467" spans="2:13" ht="27" customHeight="1">
      <c r="B467" s="17"/>
      <c r="C467" s="18"/>
      <c r="D467" s="19" t="s">
        <v>405</v>
      </c>
      <c r="E467" s="20"/>
      <c r="F467" s="20"/>
      <c r="G467" s="20">
        <f>SUM(G461:G466)</f>
        <v>0</v>
      </c>
      <c r="H467" s="20">
        <f>SUM(H461:H466)</f>
        <v>0</v>
      </c>
      <c r="I467" s="20">
        <f>SUM(I461:I466)</f>
        <v>0</v>
      </c>
      <c r="J467" s="20"/>
      <c r="K467" s="20"/>
      <c r="L467" s="20">
        <f>SUM(L461:L466)</f>
        <v>0</v>
      </c>
      <c r="M467" s="19"/>
    </row>
    <row r="468" spans="2:13" ht="27" customHeight="1">
      <c r="B468" s="9" t="s">
        <v>485</v>
      </c>
      <c r="C468" s="10" t="s">
        <v>23</v>
      </c>
      <c r="D468" s="11" t="s">
        <v>486</v>
      </c>
      <c r="E468" s="12">
        <v>340</v>
      </c>
      <c r="F468" s="12"/>
      <c r="G468" s="12">
        <f t="shared" ref="G468:G477" si="103">E468*F468</f>
        <v>0</v>
      </c>
      <c r="H468" s="12">
        <f t="shared" ref="H468:H477" si="104">G468/10</f>
        <v>0</v>
      </c>
      <c r="I468" s="12">
        <f t="shared" ref="I468:I488" si="105">G468+H468</f>
        <v>0</v>
      </c>
      <c r="J468" s="12">
        <v>290</v>
      </c>
      <c r="K468" s="12">
        <f t="shared" ref="K468:K477" si="106">E468-J468</f>
        <v>50</v>
      </c>
      <c r="L468" s="11">
        <f t="shared" ref="L468:L477" si="107">F468*K468</f>
        <v>0</v>
      </c>
      <c r="M468" s="11"/>
    </row>
    <row r="469" spans="2:13" ht="27" customHeight="1">
      <c r="B469" s="13"/>
      <c r="C469" s="10" t="s">
        <v>23</v>
      </c>
      <c r="D469" s="11" t="s">
        <v>97</v>
      </c>
      <c r="E469" s="12">
        <v>340</v>
      </c>
      <c r="F469" s="12"/>
      <c r="G469" s="12">
        <f t="shared" si="103"/>
        <v>0</v>
      </c>
      <c r="H469" s="12">
        <f t="shared" si="104"/>
        <v>0</v>
      </c>
      <c r="I469" s="12">
        <f t="shared" si="105"/>
        <v>0</v>
      </c>
      <c r="J469" s="12">
        <v>300</v>
      </c>
      <c r="K469" s="12">
        <f t="shared" si="106"/>
        <v>40</v>
      </c>
      <c r="L469" s="11">
        <f t="shared" si="107"/>
        <v>0</v>
      </c>
      <c r="M469" s="11"/>
    </row>
    <row r="470" spans="2:13" ht="27" customHeight="1">
      <c r="B470" s="13"/>
      <c r="C470" s="10" t="s">
        <v>17</v>
      </c>
      <c r="D470" s="11" t="s">
        <v>487</v>
      </c>
      <c r="E470" s="12">
        <v>7800</v>
      </c>
      <c r="F470" s="12"/>
      <c r="G470" s="12">
        <f t="shared" si="103"/>
        <v>0</v>
      </c>
      <c r="H470" s="12">
        <f t="shared" si="104"/>
        <v>0</v>
      </c>
      <c r="I470" s="12">
        <f t="shared" si="105"/>
        <v>0</v>
      </c>
      <c r="J470" s="12">
        <v>7194</v>
      </c>
      <c r="K470" s="12">
        <f t="shared" si="106"/>
        <v>606</v>
      </c>
      <c r="L470" s="11">
        <f t="shared" si="107"/>
        <v>0</v>
      </c>
      <c r="M470" s="11"/>
    </row>
    <row r="471" spans="2:13" ht="27" customHeight="1">
      <c r="B471" s="13"/>
      <c r="C471" s="10" t="s">
        <v>20</v>
      </c>
      <c r="D471" s="11" t="s">
        <v>488</v>
      </c>
      <c r="E471" s="12">
        <v>1300</v>
      </c>
      <c r="F471" s="12"/>
      <c r="G471" s="12">
        <f t="shared" si="103"/>
        <v>0</v>
      </c>
      <c r="H471" s="12">
        <f t="shared" si="104"/>
        <v>0</v>
      </c>
      <c r="I471" s="12">
        <f t="shared" si="105"/>
        <v>0</v>
      </c>
      <c r="J471" s="12">
        <v>960</v>
      </c>
      <c r="K471" s="12">
        <f t="shared" si="106"/>
        <v>340</v>
      </c>
      <c r="L471" s="11">
        <f t="shared" si="107"/>
        <v>0</v>
      </c>
      <c r="M471" s="11"/>
    </row>
    <row r="472" spans="2:13" ht="27" customHeight="1">
      <c r="B472" s="13"/>
      <c r="C472" s="10" t="s">
        <v>23</v>
      </c>
      <c r="D472" s="11" t="s">
        <v>489</v>
      </c>
      <c r="E472" s="12">
        <v>510</v>
      </c>
      <c r="F472" s="12"/>
      <c r="G472" s="12">
        <f t="shared" si="103"/>
        <v>0</v>
      </c>
      <c r="H472" s="12">
        <f t="shared" si="104"/>
        <v>0</v>
      </c>
      <c r="I472" s="12">
        <f t="shared" si="105"/>
        <v>0</v>
      </c>
      <c r="J472" s="12">
        <f>330+75</f>
        <v>405</v>
      </c>
      <c r="K472" s="12">
        <f t="shared" si="106"/>
        <v>105</v>
      </c>
      <c r="L472" s="11">
        <f t="shared" si="107"/>
        <v>0</v>
      </c>
      <c r="M472" s="11"/>
    </row>
    <row r="473" spans="2:13" ht="27" customHeight="1">
      <c r="B473" s="13"/>
      <c r="C473" s="10" t="s">
        <v>23</v>
      </c>
      <c r="D473" s="11" t="s">
        <v>490</v>
      </c>
      <c r="E473" s="12">
        <v>510</v>
      </c>
      <c r="F473" s="12"/>
      <c r="G473" s="12">
        <f t="shared" si="103"/>
        <v>0</v>
      </c>
      <c r="H473" s="12">
        <f t="shared" si="104"/>
        <v>0</v>
      </c>
      <c r="I473" s="12">
        <f t="shared" si="105"/>
        <v>0</v>
      </c>
      <c r="J473" s="12">
        <f>330+75</f>
        <v>405</v>
      </c>
      <c r="K473" s="12">
        <f t="shared" si="106"/>
        <v>105</v>
      </c>
      <c r="L473" s="11">
        <f t="shared" si="107"/>
        <v>0</v>
      </c>
      <c r="M473" s="11"/>
    </row>
    <row r="474" spans="2:13" ht="27" customHeight="1">
      <c r="B474" s="13"/>
      <c r="C474" s="10" t="s">
        <v>23</v>
      </c>
      <c r="D474" s="11" t="s">
        <v>491</v>
      </c>
      <c r="E474" s="12">
        <v>350</v>
      </c>
      <c r="F474" s="12"/>
      <c r="G474" s="12">
        <f t="shared" si="103"/>
        <v>0</v>
      </c>
      <c r="H474" s="12">
        <f t="shared" si="104"/>
        <v>0</v>
      </c>
      <c r="I474" s="12">
        <f t="shared" si="105"/>
        <v>0</v>
      </c>
      <c r="J474" s="12">
        <v>280</v>
      </c>
      <c r="K474" s="12">
        <f t="shared" si="106"/>
        <v>70</v>
      </c>
      <c r="L474" s="11">
        <f t="shared" si="107"/>
        <v>0</v>
      </c>
      <c r="M474" s="11"/>
    </row>
    <row r="475" spans="2:13" ht="27" customHeight="1">
      <c r="B475" s="13"/>
      <c r="C475" s="10" t="s">
        <v>20</v>
      </c>
      <c r="D475" s="11" t="s">
        <v>492</v>
      </c>
      <c r="E475" s="12">
        <v>1300</v>
      </c>
      <c r="F475" s="12"/>
      <c r="G475" s="12">
        <f t="shared" si="103"/>
        <v>0</v>
      </c>
      <c r="H475" s="12">
        <f t="shared" si="104"/>
        <v>0</v>
      </c>
      <c r="I475" s="12">
        <f t="shared" si="105"/>
        <v>0</v>
      </c>
      <c r="J475" s="12">
        <v>820</v>
      </c>
      <c r="K475" s="12">
        <f t="shared" si="106"/>
        <v>480</v>
      </c>
      <c r="L475" s="11">
        <f t="shared" si="107"/>
        <v>0</v>
      </c>
      <c r="M475" s="11"/>
    </row>
    <row r="476" spans="2:13" ht="27" customHeight="1">
      <c r="B476" s="13"/>
      <c r="C476" s="10" t="s">
        <v>45</v>
      </c>
      <c r="D476" s="11" t="s">
        <v>493</v>
      </c>
      <c r="E476" s="12">
        <v>110</v>
      </c>
      <c r="F476" s="12"/>
      <c r="G476" s="12">
        <f t="shared" si="103"/>
        <v>0</v>
      </c>
      <c r="H476" s="12">
        <f t="shared" si="104"/>
        <v>0</v>
      </c>
      <c r="I476" s="12">
        <f t="shared" si="105"/>
        <v>0</v>
      </c>
      <c r="J476" s="12">
        <v>80</v>
      </c>
      <c r="K476" s="12">
        <f t="shared" si="106"/>
        <v>30</v>
      </c>
      <c r="L476" s="11">
        <f t="shared" si="107"/>
        <v>0</v>
      </c>
      <c r="M476" s="11"/>
    </row>
    <row r="477" spans="2:13" ht="27" customHeight="1">
      <c r="B477" s="13"/>
      <c r="C477" s="10" t="s">
        <v>20</v>
      </c>
      <c r="D477" s="11" t="s">
        <v>494</v>
      </c>
      <c r="E477" s="12">
        <v>800</v>
      </c>
      <c r="F477" s="12"/>
      <c r="G477" s="12">
        <f t="shared" si="103"/>
        <v>0</v>
      </c>
      <c r="H477" s="12">
        <f t="shared" si="104"/>
        <v>0</v>
      </c>
      <c r="I477" s="12">
        <f t="shared" si="105"/>
        <v>0</v>
      </c>
      <c r="J477" s="12"/>
      <c r="K477" s="12">
        <f t="shared" si="106"/>
        <v>800</v>
      </c>
      <c r="L477" s="11">
        <f t="shared" si="107"/>
        <v>0</v>
      </c>
      <c r="M477" s="11"/>
    </row>
    <row r="478" spans="2:13" ht="27" customHeight="1">
      <c r="B478" s="17"/>
      <c r="C478" s="18"/>
      <c r="D478" s="19" t="s">
        <v>405</v>
      </c>
      <c r="E478" s="20"/>
      <c r="F478" s="20"/>
      <c r="G478" s="20">
        <f>SUM(G468:G477)</f>
        <v>0</v>
      </c>
      <c r="H478" s="20">
        <f>SUM(H468:H477)</f>
        <v>0</v>
      </c>
      <c r="I478" s="20">
        <f t="shared" si="105"/>
        <v>0</v>
      </c>
      <c r="J478" s="20"/>
      <c r="K478" s="20"/>
      <c r="L478" s="20">
        <f>SUM(L468:L477)</f>
        <v>0</v>
      </c>
      <c r="M478" s="19"/>
    </row>
    <row r="479" spans="2:13" ht="27" customHeight="1">
      <c r="B479" s="27" t="s">
        <v>495</v>
      </c>
      <c r="C479" s="10" t="s">
        <v>14</v>
      </c>
      <c r="D479" s="11" t="s">
        <v>496</v>
      </c>
      <c r="E479" s="12">
        <v>11520</v>
      </c>
      <c r="F479" s="12"/>
      <c r="G479" s="12">
        <f>E479*F479</f>
        <v>0</v>
      </c>
      <c r="H479" s="12">
        <f>G479/10</f>
        <v>0</v>
      </c>
      <c r="I479" s="12">
        <f t="shared" si="105"/>
        <v>0</v>
      </c>
      <c r="J479" s="12">
        <v>9200</v>
      </c>
      <c r="K479" s="12">
        <f>E479-J479</f>
        <v>2320</v>
      </c>
      <c r="L479" s="11">
        <f>F479*K479</f>
        <v>0</v>
      </c>
      <c r="M479" s="11"/>
    </row>
    <row r="480" spans="2:13" ht="27" customHeight="1">
      <c r="B480" s="30"/>
      <c r="C480" s="10" t="s">
        <v>14</v>
      </c>
      <c r="D480" s="11" t="s">
        <v>497</v>
      </c>
      <c r="E480" s="12">
        <v>10560</v>
      </c>
      <c r="F480" s="12"/>
      <c r="G480" s="12">
        <f>E480*F480</f>
        <v>0</v>
      </c>
      <c r="H480" s="12">
        <f>G480/10</f>
        <v>0</v>
      </c>
      <c r="I480" s="12">
        <f t="shared" si="105"/>
        <v>0</v>
      </c>
      <c r="J480" s="12">
        <v>8200</v>
      </c>
      <c r="K480" s="12">
        <f>E480-J480</f>
        <v>2360</v>
      </c>
      <c r="L480" s="11">
        <f>F480*K480</f>
        <v>0</v>
      </c>
      <c r="M480" s="11"/>
    </row>
    <row r="481" spans="2:13" ht="27" customHeight="1">
      <c r="B481" s="30"/>
      <c r="C481" s="10" t="s">
        <v>14</v>
      </c>
      <c r="D481" s="11" t="s">
        <v>498</v>
      </c>
      <c r="E481" s="12">
        <v>10560</v>
      </c>
      <c r="F481" s="12"/>
      <c r="G481" s="12">
        <f>E481*F481</f>
        <v>0</v>
      </c>
      <c r="H481" s="12">
        <f>G481/10</f>
        <v>0</v>
      </c>
      <c r="I481" s="12">
        <f t="shared" si="105"/>
        <v>0</v>
      </c>
      <c r="J481" s="12">
        <v>8200</v>
      </c>
      <c r="K481" s="12">
        <f>E481-J481</f>
        <v>2360</v>
      </c>
      <c r="L481" s="11">
        <f>F481*K481</f>
        <v>0</v>
      </c>
      <c r="M481" s="11"/>
    </row>
    <row r="482" spans="2:13" ht="27" customHeight="1">
      <c r="B482" s="30"/>
      <c r="C482" s="10" t="s">
        <v>14</v>
      </c>
      <c r="D482" s="11" t="s">
        <v>499</v>
      </c>
      <c r="E482" s="12">
        <v>10000</v>
      </c>
      <c r="F482" s="12"/>
      <c r="G482" s="12">
        <f>E482*F482</f>
        <v>0</v>
      </c>
      <c r="H482" s="12">
        <f>G482/10</f>
        <v>0</v>
      </c>
      <c r="I482" s="12">
        <f t="shared" si="105"/>
        <v>0</v>
      </c>
      <c r="J482" s="12">
        <v>6780</v>
      </c>
      <c r="K482" s="12">
        <f>E482-J482</f>
        <v>3220</v>
      </c>
      <c r="L482" s="11">
        <f>F482*K482</f>
        <v>0</v>
      </c>
      <c r="M482" s="11"/>
    </row>
    <row r="483" spans="2:13" ht="27" customHeight="1">
      <c r="B483" s="38"/>
      <c r="C483" s="18"/>
      <c r="D483" s="19" t="s">
        <v>405</v>
      </c>
      <c r="E483" s="20"/>
      <c r="F483" s="20"/>
      <c r="G483" s="20">
        <f>SUM(G479:G482)</f>
        <v>0</v>
      </c>
      <c r="H483" s="20">
        <f>SUM(H479:H482)</f>
        <v>0</v>
      </c>
      <c r="I483" s="20">
        <f t="shared" si="105"/>
        <v>0</v>
      </c>
      <c r="J483" s="20"/>
      <c r="K483" s="20"/>
      <c r="L483" s="20">
        <f>SUM(L479:L482)</f>
        <v>0</v>
      </c>
      <c r="M483" s="19"/>
    </row>
    <row r="484" spans="2:13" ht="27" customHeight="1">
      <c r="B484" s="9" t="s">
        <v>500</v>
      </c>
      <c r="C484" s="10" t="s">
        <v>14</v>
      </c>
      <c r="D484" s="11" t="s">
        <v>501</v>
      </c>
      <c r="E484" s="12">
        <v>7800</v>
      </c>
      <c r="F484" s="12"/>
      <c r="G484" s="12">
        <f>E484*F484</f>
        <v>0</v>
      </c>
      <c r="H484" s="12">
        <f>G484/10</f>
        <v>0</v>
      </c>
      <c r="I484" s="12">
        <f t="shared" si="105"/>
        <v>0</v>
      </c>
      <c r="J484" s="12">
        <v>7500</v>
      </c>
      <c r="K484" s="12">
        <f>E484-J484</f>
        <v>300</v>
      </c>
      <c r="L484" s="11">
        <f>F484*K484</f>
        <v>0</v>
      </c>
      <c r="M484" s="11"/>
    </row>
    <row r="485" spans="2:13" ht="27" customHeight="1">
      <c r="B485" s="13"/>
      <c r="C485" s="10" t="s">
        <v>14</v>
      </c>
      <c r="D485" s="11" t="s">
        <v>502</v>
      </c>
      <c r="E485" s="12">
        <v>7800</v>
      </c>
      <c r="F485" s="12"/>
      <c r="G485" s="12">
        <f>E485*F485</f>
        <v>0</v>
      </c>
      <c r="H485" s="12">
        <f>G485/10</f>
        <v>0</v>
      </c>
      <c r="I485" s="12">
        <f t="shared" si="105"/>
        <v>0</v>
      </c>
      <c r="J485" s="12">
        <v>7500</v>
      </c>
      <c r="K485" s="12">
        <f>E485-J485</f>
        <v>300</v>
      </c>
      <c r="L485" s="11">
        <f>F485*K485</f>
        <v>0</v>
      </c>
      <c r="M485" s="11"/>
    </row>
    <row r="486" spans="2:13" ht="27" customHeight="1">
      <c r="B486" s="13"/>
      <c r="C486" s="10" t="s">
        <v>45</v>
      </c>
      <c r="D486" s="11" t="s">
        <v>315</v>
      </c>
      <c r="E486" s="12">
        <v>64000</v>
      </c>
      <c r="F486" s="12"/>
      <c r="G486" s="12">
        <f>E486*F486</f>
        <v>0</v>
      </c>
      <c r="H486" s="12">
        <f>G486/10</f>
        <v>0</v>
      </c>
      <c r="I486" s="12">
        <f t="shared" si="105"/>
        <v>0</v>
      </c>
      <c r="J486" s="12"/>
      <c r="K486" s="12">
        <f>E486-J486</f>
        <v>64000</v>
      </c>
      <c r="L486" s="11">
        <f>F486*K486</f>
        <v>0</v>
      </c>
      <c r="M486" s="11"/>
    </row>
    <row r="487" spans="2:13" ht="27" customHeight="1">
      <c r="B487" s="13"/>
      <c r="C487" s="10" t="s">
        <v>17</v>
      </c>
      <c r="D487" s="11" t="s">
        <v>503</v>
      </c>
      <c r="E487" s="12">
        <v>6300</v>
      </c>
      <c r="F487" s="12"/>
      <c r="G487" s="12">
        <f>E487*F487</f>
        <v>0</v>
      </c>
      <c r="H487" s="12">
        <f>G487/10</f>
        <v>0</v>
      </c>
      <c r="I487" s="12">
        <f t="shared" si="105"/>
        <v>0</v>
      </c>
      <c r="J487" s="12">
        <v>6000</v>
      </c>
      <c r="K487" s="12">
        <f>E487-J487</f>
        <v>300</v>
      </c>
      <c r="L487" s="11">
        <f>F487*K487</f>
        <v>0</v>
      </c>
      <c r="M487" s="11" t="s">
        <v>352</v>
      </c>
    </row>
    <row r="488" spans="2:13" ht="27" customHeight="1">
      <c r="B488" s="13"/>
      <c r="C488" s="10" t="s">
        <v>17</v>
      </c>
      <c r="D488" s="11" t="s">
        <v>504</v>
      </c>
      <c r="E488" s="12">
        <v>6800</v>
      </c>
      <c r="F488" s="12"/>
      <c r="G488" s="12">
        <f>E488*F488</f>
        <v>0</v>
      </c>
      <c r="H488" s="12">
        <f>G488/10</f>
        <v>0</v>
      </c>
      <c r="I488" s="12">
        <f t="shared" si="105"/>
        <v>0</v>
      </c>
      <c r="J488" s="12">
        <v>7194</v>
      </c>
      <c r="K488" s="12">
        <f>E488-J488</f>
        <v>-394</v>
      </c>
      <c r="L488" s="11">
        <f>F488*K488</f>
        <v>0</v>
      </c>
      <c r="M488" s="11" t="s">
        <v>352</v>
      </c>
    </row>
    <row r="489" spans="2:13" ht="27" customHeight="1">
      <c r="B489" s="17"/>
      <c r="C489" s="18"/>
      <c r="D489" s="19" t="s">
        <v>405</v>
      </c>
      <c r="E489" s="20"/>
      <c r="F489" s="20">
        <f>SUM(F484:F488)</f>
        <v>0</v>
      </c>
      <c r="G489" s="20">
        <f>SUM(G484:G488)</f>
        <v>0</v>
      </c>
      <c r="H489" s="20">
        <f>SUM(H484:H488)</f>
        <v>0</v>
      </c>
      <c r="I489" s="20">
        <f>SUM(I484:I488)</f>
        <v>0</v>
      </c>
      <c r="J489" s="20"/>
      <c r="K489" s="20"/>
      <c r="L489" s="20">
        <f>SUM(L484:L488)</f>
        <v>0</v>
      </c>
      <c r="M489" s="19"/>
    </row>
    <row r="490" spans="2:13" ht="27" customHeight="1">
      <c r="B490" s="9" t="s">
        <v>505</v>
      </c>
      <c r="C490" s="10" t="s">
        <v>23</v>
      </c>
      <c r="D490" s="11" t="s">
        <v>506</v>
      </c>
      <c r="E490" s="12">
        <v>650</v>
      </c>
      <c r="F490" s="12"/>
      <c r="G490" s="12">
        <f t="shared" ref="G490:G501" si="108">E490*F490</f>
        <v>0</v>
      </c>
      <c r="H490" s="12">
        <f t="shared" ref="H490:H501" si="109">G490/10</f>
        <v>0</v>
      </c>
      <c r="I490" s="12">
        <f t="shared" ref="I490:I554" si="110">G490+H490</f>
        <v>0</v>
      </c>
      <c r="J490" s="12">
        <v>610</v>
      </c>
      <c r="K490" s="12">
        <f t="shared" ref="K490:K501" si="111">E490-J490</f>
        <v>40</v>
      </c>
      <c r="L490" s="11">
        <f t="shared" ref="L490:L501" si="112">F490*K490</f>
        <v>0</v>
      </c>
      <c r="M490" s="11"/>
    </row>
    <row r="491" spans="2:13" ht="27" customHeight="1">
      <c r="B491" s="13"/>
      <c r="C491" s="10" t="s">
        <v>23</v>
      </c>
      <c r="D491" s="11" t="s">
        <v>507</v>
      </c>
      <c r="E491" s="12">
        <v>630</v>
      </c>
      <c r="F491" s="12"/>
      <c r="G491" s="12">
        <f t="shared" si="108"/>
        <v>0</v>
      </c>
      <c r="H491" s="12">
        <f t="shared" si="109"/>
        <v>0</v>
      </c>
      <c r="I491" s="12">
        <f t="shared" si="110"/>
        <v>0</v>
      </c>
      <c r="J491" s="12">
        <v>600</v>
      </c>
      <c r="K491" s="12">
        <f t="shared" si="111"/>
        <v>30</v>
      </c>
      <c r="L491" s="11">
        <f t="shared" si="112"/>
        <v>0</v>
      </c>
      <c r="M491" s="11"/>
    </row>
    <row r="492" spans="2:13" ht="27" customHeight="1">
      <c r="B492" s="13"/>
      <c r="C492" s="10" t="s">
        <v>23</v>
      </c>
      <c r="D492" s="11" t="s">
        <v>508</v>
      </c>
      <c r="E492" s="12">
        <v>650</v>
      </c>
      <c r="F492" s="12"/>
      <c r="G492" s="12">
        <f t="shared" si="108"/>
        <v>0</v>
      </c>
      <c r="H492" s="12">
        <f t="shared" si="109"/>
        <v>0</v>
      </c>
      <c r="I492" s="12">
        <f t="shared" si="110"/>
        <v>0</v>
      </c>
      <c r="J492" s="12">
        <v>610</v>
      </c>
      <c r="K492" s="12">
        <f t="shared" si="111"/>
        <v>40</v>
      </c>
      <c r="L492" s="11">
        <f t="shared" si="112"/>
        <v>0</v>
      </c>
      <c r="M492" s="11"/>
    </row>
    <row r="493" spans="2:13" ht="27" customHeight="1">
      <c r="B493" s="13"/>
      <c r="C493" s="10" t="s">
        <v>23</v>
      </c>
      <c r="D493" s="11" t="s">
        <v>509</v>
      </c>
      <c r="E493" s="12">
        <v>630</v>
      </c>
      <c r="F493" s="12"/>
      <c r="G493" s="12">
        <f t="shared" si="108"/>
        <v>0</v>
      </c>
      <c r="H493" s="12">
        <f t="shared" si="109"/>
        <v>0</v>
      </c>
      <c r="I493" s="12">
        <f t="shared" si="110"/>
        <v>0</v>
      </c>
      <c r="J493" s="12">
        <v>600</v>
      </c>
      <c r="K493" s="12">
        <f t="shared" si="111"/>
        <v>30</v>
      </c>
      <c r="L493" s="11">
        <f t="shared" si="112"/>
        <v>0</v>
      </c>
      <c r="M493" s="11"/>
    </row>
    <row r="494" spans="2:13" ht="27" customHeight="1">
      <c r="B494" s="13"/>
      <c r="C494" s="10" t="s">
        <v>23</v>
      </c>
      <c r="D494" s="11" t="s">
        <v>510</v>
      </c>
      <c r="E494" s="12">
        <v>650</v>
      </c>
      <c r="F494" s="12"/>
      <c r="G494" s="12">
        <f t="shared" si="108"/>
        <v>0</v>
      </c>
      <c r="H494" s="12">
        <f t="shared" si="109"/>
        <v>0</v>
      </c>
      <c r="I494" s="12">
        <f t="shared" si="110"/>
        <v>0</v>
      </c>
      <c r="J494" s="12">
        <v>610</v>
      </c>
      <c r="K494" s="12">
        <f t="shared" si="111"/>
        <v>40</v>
      </c>
      <c r="L494" s="11">
        <f t="shared" si="112"/>
        <v>0</v>
      </c>
      <c r="M494" s="11"/>
    </row>
    <row r="495" spans="2:13" ht="27" customHeight="1">
      <c r="B495" s="13"/>
      <c r="C495" s="10" t="s">
        <v>23</v>
      </c>
      <c r="D495" s="11" t="s">
        <v>511</v>
      </c>
      <c r="E495" s="12">
        <v>630</v>
      </c>
      <c r="F495" s="12"/>
      <c r="G495" s="12">
        <f t="shared" si="108"/>
        <v>0</v>
      </c>
      <c r="H495" s="12">
        <f t="shared" si="109"/>
        <v>0</v>
      </c>
      <c r="I495" s="12">
        <f t="shared" si="110"/>
        <v>0</v>
      </c>
      <c r="J495" s="12">
        <v>600</v>
      </c>
      <c r="K495" s="12">
        <f t="shared" si="111"/>
        <v>30</v>
      </c>
      <c r="L495" s="11">
        <f t="shared" si="112"/>
        <v>0</v>
      </c>
      <c r="M495" s="11"/>
    </row>
    <row r="496" spans="2:13" ht="27" customHeight="1">
      <c r="B496" s="13"/>
      <c r="C496" s="10" t="s">
        <v>23</v>
      </c>
      <c r="D496" s="11" t="s">
        <v>512</v>
      </c>
      <c r="E496" s="12">
        <v>650</v>
      </c>
      <c r="F496" s="12"/>
      <c r="G496" s="12">
        <f t="shared" si="108"/>
        <v>0</v>
      </c>
      <c r="H496" s="12">
        <f t="shared" si="109"/>
        <v>0</v>
      </c>
      <c r="I496" s="12">
        <f t="shared" si="110"/>
        <v>0</v>
      </c>
      <c r="J496" s="12">
        <v>610</v>
      </c>
      <c r="K496" s="12">
        <f t="shared" si="111"/>
        <v>40</v>
      </c>
      <c r="L496" s="11">
        <f t="shared" si="112"/>
        <v>0</v>
      </c>
      <c r="M496" s="11"/>
    </row>
    <row r="497" spans="2:13" ht="27" customHeight="1">
      <c r="B497" s="13"/>
      <c r="C497" s="10" t="s">
        <v>23</v>
      </c>
      <c r="D497" s="11" t="s">
        <v>513</v>
      </c>
      <c r="E497" s="12">
        <v>630</v>
      </c>
      <c r="F497" s="12"/>
      <c r="G497" s="12">
        <f t="shared" si="108"/>
        <v>0</v>
      </c>
      <c r="H497" s="12">
        <f t="shared" si="109"/>
        <v>0</v>
      </c>
      <c r="I497" s="12">
        <f t="shared" si="110"/>
        <v>0</v>
      </c>
      <c r="J497" s="12">
        <v>600</v>
      </c>
      <c r="K497" s="12">
        <f t="shared" si="111"/>
        <v>30</v>
      </c>
      <c r="L497" s="11">
        <f t="shared" si="112"/>
        <v>0</v>
      </c>
      <c r="M497" s="11"/>
    </row>
    <row r="498" spans="2:13" ht="27" customHeight="1">
      <c r="B498" s="13"/>
      <c r="C498" s="10" t="s">
        <v>45</v>
      </c>
      <c r="D498" s="11" t="s">
        <v>514</v>
      </c>
      <c r="E498" s="12">
        <v>330</v>
      </c>
      <c r="F498" s="12"/>
      <c r="G498" s="12">
        <f t="shared" si="108"/>
        <v>0</v>
      </c>
      <c r="H498" s="12">
        <f t="shared" si="109"/>
        <v>0</v>
      </c>
      <c r="I498" s="12">
        <f t="shared" si="110"/>
        <v>0</v>
      </c>
      <c r="J498" s="12">
        <v>260</v>
      </c>
      <c r="K498" s="12">
        <f t="shared" si="111"/>
        <v>70</v>
      </c>
      <c r="L498" s="11">
        <f t="shared" si="112"/>
        <v>0</v>
      </c>
      <c r="M498" s="11"/>
    </row>
    <row r="499" spans="2:13" ht="27" customHeight="1">
      <c r="B499" s="13"/>
      <c r="C499" s="10" t="s">
        <v>45</v>
      </c>
      <c r="D499" s="11" t="s">
        <v>515</v>
      </c>
      <c r="E499" s="12">
        <v>220</v>
      </c>
      <c r="F499" s="12"/>
      <c r="G499" s="12">
        <f t="shared" si="108"/>
        <v>0</v>
      </c>
      <c r="H499" s="12">
        <f t="shared" si="109"/>
        <v>0</v>
      </c>
      <c r="I499" s="12">
        <f t="shared" si="110"/>
        <v>0</v>
      </c>
      <c r="J499" s="12">
        <v>200</v>
      </c>
      <c r="K499" s="12">
        <f t="shared" si="111"/>
        <v>20</v>
      </c>
      <c r="L499" s="11">
        <f t="shared" si="112"/>
        <v>0</v>
      </c>
      <c r="M499" s="11"/>
    </row>
    <row r="500" spans="2:13" ht="27" customHeight="1">
      <c r="B500" s="13"/>
      <c r="C500" s="10" t="s">
        <v>17</v>
      </c>
      <c r="D500" s="11" t="s">
        <v>504</v>
      </c>
      <c r="E500" s="12">
        <v>8000</v>
      </c>
      <c r="F500" s="12"/>
      <c r="G500" s="12">
        <f>E500*F500</f>
        <v>0</v>
      </c>
      <c r="H500" s="12">
        <f>G500/10</f>
        <v>0</v>
      </c>
      <c r="I500" s="12">
        <f>G500+H500</f>
        <v>0</v>
      </c>
      <c r="J500" s="12">
        <v>6400</v>
      </c>
      <c r="K500" s="12">
        <f>E500-J500</f>
        <v>1600</v>
      </c>
      <c r="L500" s="11">
        <f>F500*K500</f>
        <v>0</v>
      </c>
      <c r="M500" s="11" t="s">
        <v>352</v>
      </c>
    </row>
    <row r="501" spans="2:13" ht="27" customHeight="1">
      <c r="B501" s="13"/>
      <c r="C501" s="10" t="s">
        <v>45</v>
      </c>
      <c r="D501" s="11" t="s">
        <v>150</v>
      </c>
      <c r="E501" s="12">
        <v>1200</v>
      </c>
      <c r="F501" s="12"/>
      <c r="G501" s="12">
        <f t="shared" si="108"/>
        <v>0</v>
      </c>
      <c r="H501" s="12">
        <f t="shared" si="109"/>
        <v>0</v>
      </c>
      <c r="I501" s="12">
        <f t="shared" si="110"/>
        <v>0</v>
      </c>
      <c r="J501" s="12">
        <v>890</v>
      </c>
      <c r="K501" s="12">
        <f t="shared" si="111"/>
        <v>310</v>
      </c>
      <c r="L501" s="11">
        <f t="shared" si="112"/>
        <v>0</v>
      </c>
      <c r="M501" s="11"/>
    </row>
    <row r="502" spans="2:13" ht="27" customHeight="1">
      <c r="B502" s="17"/>
      <c r="C502" s="18"/>
      <c r="D502" s="19" t="s">
        <v>405</v>
      </c>
      <c r="E502" s="20"/>
      <c r="F502" s="20"/>
      <c r="G502" s="20">
        <f>SUM(G490:G501)</f>
        <v>0</v>
      </c>
      <c r="H502" s="20">
        <f>SUM(H490:H501)</f>
        <v>0</v>
      </c>
      <c r="I502" s="20">
        <f t="shared" si="110"/>
        <v>0</v>
      </c>
      <c r="J502" s="20"/>
      <c r="K502" s="20"/>
      <c r="L502" s="20">
        <f>SUM(L490:L501)</f>
        <v>0</v>
      </c>
      <c r="M502" s="19"/>
    </row>
    <row r="503" spans="2:13" ht="27" customHeight="1">
      <c r="B503" s="68" t="s">
        <v>516</v>
      </c>
      <c r="C503" s="10" t="s">
        <v>17</v>
      </c>
      <c r="D503" s="11" t="s">
        <v>517</v>
      </c>
      <c r="E503" s="12">
        <v>7200</v>
      </c>
      <c r="F503" s="12"/>
      <c r="G503" s="12">
        <f>E503*F503</f>
        <v>0</v>
      </c>
      <c r="H503" s="12">
        <f>G503/10</f>
        <v>0</v>
      </c>
      <c r="I503" s="12">
        <f t="shared" si="110"/>
        <v>0</v>
      </c>
      <c r="J503" s="12">
        <v>6540</v>
      </c>
      <c r="K503" s="12">
        <f>E503-J503</f>
        <v>660</v>
      </c>
      <c r="L503" s="11">
        <f>F503*K503</f>
        <v>0</v>
      </c>
      <c r="M503" s="11" t="s">
        <v>352</v>
      </c>
    </row>
    <row r="504" spans="2:13" ht="27" customHeight="1">
      <c r="B504" s="69"/>
      <c r="C504" s="10" t="s">
        <v>14</v>
      </c>
      <c r="D504" s="11" t="s">
        <v>518</v>
      </c>
      <c r="E504" s="12">
        <v>7000</v>
      </c>
      <c r="F504" s="12"/>
      <c r="G504" s="12">
        <f>E504*F504</f>
        <v>0</v>
      </c>
      <c r="H504" s="12">
        <f>G504/10</f>
        <v>0</v>
      </c>
      <c r="I504" s="12">
        <f t="shared" si="110"/>
        <v>0</v>
      </c>
      <c r="J504" s="12">
        <v>6150</v>
      </c>
      <c r="K504" s="12">
        <f>E504-J504</f>
        <v>850</v>
      </c>
      <c r="L504" s="11">
        <f>F504*K504</f>
        <v>0</v>
      </c>
      <c r="M504" s="11" t="s">
        <v>352</v>
      </c>
    </row>
    <row r="505" spans="2:13" ht="27" customHeight="1">
      <c r="B505" s="69"/>
      <c r="C505" s="10" t="s">
        <v>17</v>
      </c>
      <c r="D505" s="11" t="s">
        <v>519</v>
      </c>
      <c r="E505" s="12">
        <v>6400</v>
      </c>
      <c r="F505" s="12"/>
      <c r="G505" s="12">
        <f>E505*F505</f>
        <v>0</v>
      </c>
      <c r="H505" s="12">
        <f>G505/10</f>
        <v>0</v>
      </c>
      <c r="I505" s="12">
        <f t="shared" si="110"/>
        <v>0</v>
      </c>
      <c r="J505" s="12">
        <v>6200</v>
      </c>
      <c r="K505" s="12">
        <f>E505-J505</f>
        <v>200</v>
      </c>
      <c r="L505" s="11">
        <f>F505*K505</f>
        <v>0</v>
      </c>
      <c r="M505" s="11" t="s">
        <v>352</v>
      </c>
    </row>
    <row r="506" spans="2:13" ht="27" customHeight="1">
      <c r="B506" s="69"/>
      <c r="C506" s="10" t="s">
        <v>17</v>
      </c>
      <c r="D506" s="11" t="s">
        <v>520</v>
      </c>
      <c r="E506" s="12">
        <v>9000</v>
      </c>
      <c r="F506" s="12"/>
      <c r="G506" s="12">
        <f>E506*F506</f>
        <v>0</v>
      </c>
      <c r="H506" s="12">
        <f>G506/10</f>
        <v>0</v>
      </c>
      <c r="I506" s="12">
        <f t="shared" si="110"/>
        <v>0</v>
      </c>
      <c r="J506" s="12">
        <v>7730</v>
      </c>
      <c r="K506" s="12">
        <f>E506-J506</f>
        <v>1270</v>
      </c>
      <c r="L506" s="11">
        <f>F506*K506</f>
        <v>0</v>
      </c>
      <c r="M506" s="11" t="s">
        <v>521</v>
      </c>
    </row>
    <row r="507" spans="2:13" ht="27" customHeight="1">
      <c r="B507" s="69"/>
      <c r="C507" s="10" t="s">
        <v>17</v>
      </c>
      <c r="D507" s="11" t="s">
        <v>522</v>
      </c>
      <c r="E507" s="12">
        <v>9000</v>
      </c>
      <c r="F507" s="12"/>
      <c r="G507" s="12">
        <f>E507*F507</f>
        <v>0</v>
      </c>
      <c r="H507" s="12">
        <f>G507/10</f>
        <v>0</v>
      </c>
      <c r="I507" s="12">
        <f t="shared" si="110"/>
        <v>0</v>
      </c>
      <c r="J507" s="12">
        <v>7730</v>
      </c>
      <c r="K507" s="12">
        <f>E507-J507</f>
        <v>1270</v>
      </c>
      <c r="L507" s="11">
        <f>F507*K507</f>
        <v>0</v>
      </c>
      <c r="M507" s="11" t="s">
        <v>521</v>
      </c>
    </row>
    <row r="508" spans="2:13" ht="27" customHeight="1">
      <c r="B508" s="70"/>
      <c r="C508" s="18"/>
      <c r="D508" s="19" t="s">
        <v>405</v>
      </c>
      <c r="E508" s="20"/>
      <c r="F508" s="20"/>
      <c r="G508" s="20">
        <f>SUM(G503:G507)</f>
        <v>0</v>
      </c>
      <c r="H508" s="20">
        <f>SUM(H503:H507)</f>
        <v>0</v>
      </c>
      <c r="I508" s="20">
        <f t="shared" si="110"/>
        <v>0</v>
      </c>
      <c r="J508" s="20"/>
      <c r="K508" s="20"/>
      <c r="L508" s="20">
        <f>SUM(L503:L507)</f>
        <v>0</v>
      </c>
      <c r="M508" s="19"/>
    </row>
    <row r="509" spans="2:13" ht="27" customHeight="1">
      <c r="B509" s="9" t="s">
        <v>523</v>
      </c>
      <c r="C509" s="10" t="s">
        <v>14</v>
      </c>
      <c r="D509" s="11" t="s">
        <v>524</v>
      </c>
      <c r="E509" s="12">
        <v>5000</v>
      </c>
      <c r="F509" s="12"/>
      <c r="G509" s="12">
        <f>E509*F509</f>
        <v>0</v>
      </c>
      <c r="H509" s="12">
        <f>G509/10</f>
        <v>0</v>
      </c>
      <c r="I509" s="12">
        <f t="shared" si="110"/>
        <v>0</v>
      </c>
      <c r="J509" s="12">
        <v>3780</v>
      </c>
      <c r="K509" s="12">
        <f>E509-J509</f>
        <v>1220</v>
      </c>
      <c r="L509" s="11">
        <f>F509*K509</f>
        <v>0</v>
      </c>
      <c r="M509" s="11" t="s">
        <v>525</v>
      </c>
    </row>
    <row r="510" spans="2:13" ht="27" customHeight="1">
      <c r="B510" s="13"/>
      <c r="C510" s="10"/>
      <c r="D510" s="11"/>
      <c r="E510" s="12"/>
      <c r="F510" s="12"/>
      <c r="G510" s="12">
        <f>E510*F510</f>
        <v>0</v>
      </c>
      <c r="H510" s="12">
        <f>G510/10</f>
        <v>0</v>
      </c>
      <c r="I510" s="12">
        <f t="shared" si="110"/>
        <v>0</v>
      </c>
      <c r="J510" s="12"/>
      <c r="K510" s="12">
        <f>E510-J510</f>
        <v>0</v>
      </c>
      <c r="L510" s="11">
        <f>F510*K510</f>
        <v>0</v>
      </c>
      <c r="M510" s="11"/>
    </row>
    <row r="511" spans="2:13" ht="27" customHeight="1">
      <c r="B511" s="17"/>
      <c r="C511" s="18"/>
      <c r="D511" s="19" t="s">
        <v>405</v>
      </c>
      <c r="E511" s="20"/>
      <c r="F511" s="20"/>
      <c r="G511" s="20">
        <f>SUM(G509:G510)</f>
        <v>0</v>
      </c>
      <c r="H511" s="20">
        <f>SUM(H509:H510)</f>
        <v>0</v>
      </c>
      <c r="I511" s="20">
        <f t="shared" si="110"/>
        <v>0</v>
      </c>
      <c r="J511" s="20"/>
      <c r="K511" s="20"/>
      <c r="L511" s="20">
        <f>SUM(L509:L510)</f>
        <v>0</v>
      </c>
      <c r="M511" s="19"/>
    </row>
    <row r="512" spans="2:13" ht="27" customHeight="1">
      <c r="B512" s="27" t="s">
        <v>526</v>
      </c>
      <c r="C512" s="10" t="s">
        <v>372</v>
      </c>
      <c r="D512" s="11" t="s">
        <v>527</v>
      </c>
      <c r="E512" s="12">
        <v>240</v>
      </c>
      <c r="F512" s="12"/>
      <c r="G512" s="12">
        <f>E512*F512</f>
        <v>0</v>
      </c>
      <c r="H512" s="12">
        <f>G512/10</f>
        <v>0</v>
      </c>
      <c r="I512" s="12">
        <f t="shared" si="110"/>
        <v>0</v>
      </c>
      <c r="J512" s="12">
        <v>190</v>
      </c>
      <c r="K512" s="12">
        <f>E512-J512</f>
        <v>50</v>
      </c>
      <c r="L512" s="11">
        <f>F512*K512</f>
        <v>0</v>
      </c>
      <c r="M512" s="11" t="s">
        <v>528</v>
      </c>
    </row>
    <row r="513" spans="2:13" ht="27" customHeight="1">
      <c r="B513" s="30"/>
      <c r="C513" s="10" t="s">
        <v>372</v>
      </c>
      <c r="D513" s="11" t="s">
        <v>529</v>
      </c>
      <c r="E513" s="12">
        <v>205</v>
      </c>
      <c r="F513" s="12"/>
      <c r="G513" s="12">
        <f>E513*F513</f>
        <v>0</v>
      </c>
      <c r="H513" s="12">
        <f>G513/10</f>
        <v>0</v>
      </c>
      <c r="I513" s="12">
        <f t="shared" si="110"/>
        <v>0</v>
      </c>
      <c r="J513" s="12">
        <v>210</v>
      </c>
      <c r="K513" s="12">
        <f>E513-J513</f>
        <v>-5</v>
      </c>
      <c r="L513" s="11">
        <f>F513*K513</f>
        <v>0</v>
      </c>
      <c r="M513" s="11" t="s">
        <v>528</v>
      </c>
    </row>
    <row r="514" spans="2:13" ht="27" customHeight="1">
      <c r="B514" s="38"/>
      <c r="C514" s="18"/>
      <c r="D514" s="19" t="s">
        <v>405</v>
      </c>
      <c r="E514" s="20"/>
      <c r="F514" s="20"/>
      <c r="G514" s="20">
        <f>SUM(G512:G513)</f>
        <v>0</v>
      </c>
      <c r="H514" s="20">
        <f>SUM(H512:H513)</f>
        <v>0</v>
      </c>
      <c r="I514" s="20">
        <f t="shared" si="110"/>
        <v>0</v>
      </c>
      <c r="J514" s="20"/>
      <c r="K514" s="20"/>
      <c r="L514" s="20">
        <f>SUM(L512:L513)</f>
        <v>0</v>
      </c>
      <c r="M514" s="19"/>
    </row>
    <row r="515" spans="2:13" ht="27" customHeight="1">
      <c r="B515" s="27" t="s">
        <v>530</v>
      </c>
      <c r="C515" s="10" t="s">
        <v>372</v>
      </c>
      <c r="D515" s="11" t="s">
        <v>527</v>
      </c>
      <c r="E515" s="12">
        <v>175</v>
      </c>
      <c r="F515" s="12"/>
      <c r="G515" s="12">
        <f>E515*F515</f>
        <v>0</v>
      </c>
      <c r="H515" s="12">
        <f>G515/10</f>
        <v>0</v>
      </c>
      <c r="I515" s="12">
        <f t="shared" si="110"/>
        <v>0</v>
      </c>
      <c r="J515" s="12">
        <v>190</v>
      </c>
      <c r="K515" s="12">
        <f>E515-J515</f>
        <v>-15</v>
      </c>
      <c r="L515" s="11">
        <f>F515*K515</f>
        <v>0</v>
      </c>
      <c r="M515" s="11" t="s">
        <v>528</v>
      </c>
    </row>
    <row r="516" spans="2:13" ht="27" customHeight="1">
      <c r="B516" s="30"/>
      <c r="C516" s="10" t="s">
        <v>372</v>
      </c>
      <c r="D516" s="11" t="s">
        <v>529</v>
      </c>
      <c r="E516" s="12">
        <v>205</v>
      </c>
      <c r="F516" s="12"/>
      <c r="G516" s="12">
        <f>E516*F516</f>
        <v>0</v>
      </c>
      <c r="H516" s="12">
        <f>G516/10</f>
        <v>0</v>
      </c>
      <c r="I516" s="12">
        <f t="shared" si="110"/>
        <v>0</v>
      </c>
      <c r="J516" s="12">
        <v>210</v>
      </c>
      <c r="K516" s="12">
        <f>E516-J516</f>
        <v>-5</v>
      </c>
      <c r="L516" s="11">
        <f>F516*K516</f>
        <v>0</v>
      </c>
      <c r="M516" s="11" t="s">
        <v>528</v>
      </c>
    </row>
    <row r="517" spans="2:13" ht="27" customHeight="1">
      <c r="B517" s="38"/>
      <c r="C517" s="18"/>
      <c r="D517" s="19" t="s">
        <v>405</v>
      </c>
      <c r="E517" s="20"/>
      <c r="F517" s="20"/>
      <c r="G517" s="20">
        <f>SUM(G515:G516)</f>
        <v>0</v>
      </c>
      <c r="H517" s="20">
        <f>SUM(H515:H516)</f>
        <v>0</v>
      </c>
      <c r="I517" s="20">
        <f t="shared" si="110"/>
        <v>0</v>
      </c>
      <c r="J517" s="20"/>
      <c r="K517" s="20"/>
      <c r="L517" s="20">
        <f>SUM(L515:L516)</f>
        <v>0</v>
      </c>
      <c r="M517" s="19"/>
    </row>
    <row r="518" spans="2:13" ht="27" customHeight="1">
      <c r="B518" s="9" t="s">
        <v>531</v>
      </c>
      <c r="C518" s="10" t="s">
        <v>14</v>
      </c>
      <c r="D518" s="11" t="s">
        <v>532</v>
      </c>
      <c r="E518" s="12">
        <v>6000</v>
      </c>
      <c r="F518" s="12"/>
      <c r="G518" s="12">
        <f>E518*F518</f>
        <v>0</v>
      </c>
      <c r="H518" s="12">
        <f>G518/10</f>
        <v>0</v>
      </c>
      <c r="I518" s="12">
        <f t="shared" si="110"/>
        <v>0</v>
      </c>
      <c r="J518" s="12">
        <v>3000</v>
      </c>
      <c r="K518" s="12">
        <f>E518-J518</f>
        <v>3000</v>
      </c>
      <c r="L518" s="11">
        <f>F518*K518</f>
        <v>0</v>
      </c>
      <c r="M518" s="11" t="s">
        <v>533</v>
      </c>
    </row>
    <row r="519" spans="2:13" ht="27" customHeight="1">
      <c r="B519" s="13"/>
      <c r="C519" s="10"/>
      <c r="D519" s="11"/>
      <c r="E519" s="12"/>
      <c r="F519" s="12"/>
      <c r="G519" s="12">
        <f>E519*F519</f>
        <v>0</v>
      </c>
      <c r="H519" s="12">
        <f>G519/10</f>
        <v>0</v>
      </c>
      <c r="I519" s="12">
        <f t="shared" si="110"/>
        <v>0</v>
      </c>
      <c r="J519" s="12"/>
      <c r="K519" s="12">
        <f>E519-J519</f>
        <v>0</v>
      </c>
      <c r="L519" s="11">
        <f>F519*K519</f>
        <v>0</v>
      </c>
      <c r="M519" s="11"/>
    </row>
    <row r="520" spans="2:13" ht="27" customHeight="1">
      <c r="B520" s="17"/>
      <c r="C520" s="18"/>
      <c r="D520" s="19" t="s">
        <v>405</v>
      </c>
      <c r="E520" s="20"/>
      <c r="F520" s="20"/>
      <c r="G520" s="20">
        <f>SUM(G518:G519)</f>
        <v>0</v>
      </c>
      <c r="H520" s="20">
        <f>SUM(H518:H519)</f>
        <v>0</v>
      </c>
      <c r="I520" s="20">
        <f t="shared" si="110"/>
        <v>0</v>
      </c>
      <c r="J520" s="20"/>
      <c r="K520" s="20"/>
      <c r="L520" s="20">
        <f>SUM(L518:L519)</f>
        <v>0</v>
      </c>
      <c r="M520" s="19"/>
    </row>
    <row r="521" spans="2:13" ht="27" customHeight="1">
      <c r="B521" s="9" t="s">
        <v>534</v>
      </c>
      <c r="C521" s="10" t="s">
        <v>14</v>
      </c>
      <c r="D521" s="11" t="s">
        <v>535</v>
      </c>
      <c r="E521" s="12">
        <v>5000</v>
      </c>
      <c r="F521" s="12"/>
      <c r="G521" s="12">
        <f t="shared" ref="G521:G529" si="113">E521*F521</f>
        <v>0</v>
      </c>
      <c r="H521" s="12">
        <f t="shared" ref="H521:H529" si="114">G521/10</f>
        <v>0</v>
      </c>
      <c r="I521" s="12">
        <f t="shared" si="110"/>
        <v>0</v>
      </c>
      <c r="J521" s="12">
        <v>3000</v>
      </c>
      <c r="K521" s="12">
        <f t="shared" ref="K521:K529" si="115">E521-J521</f>
        <v>2000</v>
      </c>
      <c r="L521" s="11">
        <f t="shared" ref="L521:L529" si="116">F521*K521</f>
        <v>0</v>
      </c>
      <c r="M521" s="11" t="s">
        <v>533</v>
      </c>
    </row>
    <row r="522" spans="2:13" ht="27" customHeight="1">
      <c r="B522" s="13"/>
      <c r="C522" s="10" t="s">
        <v>14</v>
      </c>
      <c r="D522" s="11" t="s">
        <v>536</v>
      </c>
      <c r="E522" s="12">
        <v>6300</v>
      </c>
      <c r="F522" s="12"/>
      <c r="G522" s="12">
        <f t="shared" si="113"/>
        <v>0</v>
      </c>
      <c r="H522" s="12">
        <f t="shared" si="114"/>
        <v>0</v>
      </c>
      <c r="I522" s="12">
        <f t="shared" si="110"/>
        <v>0</v>
      </c>
      <c r="J522" s="12">
        <v>5700</v>
      </c>
      <c r="K522" s="12">
        <f t="shared" si="115"/>
        <v>600</v>
      </c>
      <c r="L522" s="11">
        <f t="shared" si="116"/>
        <v>0</v>
      </c>
      <c r="M522" s="71"/>
    </row>
    <row r="523" spans="2:13" ht="27" customHeight="1">
      <c r="B523" s="13"/>
      <c r="C523" s="10" t="s">
        <v>14</v>
      </c>
      <c r="D523" s="11" t="s">
        <v>537</v>
      </c>
      <c r="E523" s="12">
        <v>6000</v>
      </c>
      <c r="F523" s="12"/>
      <c r="G523" s="12">
        <f t="shared" si="113"/>
        <v>0</v>
      </c>
      <c r="H523" s="12">
        <f t="shared" si="114"/>
        <v>0</v>
      </c>
      <c r="I523" s="12">
        <f t="shared" si="110"/>
        <v>0</v>
      </c>
      <c r="J523" s="12">
        <v>5700</v>
      </c>
      <c r="K523" s="12">
        <f t="shared" si="115"/>
        <v>300</v>
      </c>
      <c r="L523" s="11">
        <f t="shared" si="116"/>
        <v>0</v>
      </c>
      <c r="M523" s="11" t="s">
        <v>352</v>
      </c>
    </row>
    <row r="524" spans="2:13" ht="27" customHeight="1">
      <c r="B524" s="13"/>
      <c r="C524" s="10" t="s">
        <v>14</v>
      </c>
      <c r="D524" s="11" t="s">
        <v>538</v>
      </c>
      <c r="E524" s="12">
        <v>6200</v>
      </c>
      <c r="F524" s="12"/>
      <c r="G524" s="12">
        <f t="shared" si="113"/>
        <v>0</v>
      </c>
      <c r="H524" s="12">
        <f t="shared" si="114"/>
        <v>0</v>
      </c>
      <c r="I524" s="12">
        <f t="shared" si="110"/>
        <v>0</v>
      </c>
      <c r="J524" s="12">
        <v>5800</v>
      </c>
      <c r="K524" s="12">
        <f t="shared" si="115"/>
        <v>400</v>
      </c>
      <c r="L524" s="11">
        <f t="shared" si="116"/>
        <v>0</v>
      </c>
      <c r="M524" s="11"/>
    </row>
    <row r="525" spans="2:13" ht="27" customHeight="1">
      <c r="B525" s="13"/>
      <c r="C525" s="10" t="s">
        <v>539</v>
      </c>
      <c r="D525" s="11" t="s">
        <v>540</v>
      </c>
      <c r="E525" s="12">
        <v>6600</v>
      </c>
      <c r="F525" s="12"/>
      <c r="G525" s="12">
        <f t="shared" si="113"/>
        <v>0</v>
      </c>
      <c r="H525" s="12">
        <f t="shared" si="114"/>
        <v>0</v>
      </c>
      <c r="I525" s="12">
        <f t="shared" si="110"/>
        <v>0</v>
      </c>
      <c r="J525" s="12">
        <v>5800</v>
      </c>
      <c r="K525" s="12">
        <f t="shared" si="115"/>
        <v>800</v>
      </c>
      <c r="L525" s="11">
        <f t="shared" si="116"/>
        <v>0</v>
      </c>
      <c r="M525" s="11"/>
    </row>
    <row r="526" spans="2:13" ht="27" customHeight="1">
      <c r="B526" s="13"/>
      <c r="C526" s="10" t="s">
        <v>539</v>
      </c>
      <c r="D526" s="11" t="s">
        <v>541</v>
      </c>
      <c r="E526" s="12">
        <v>5500</v>
      </c>
      <c r="F526" s="12"/>
      <c r="G526" s="12">
        <f t="shared" si="113"/>
        <v>0</v>
      </c>
      <c r="H526" s="12">
        <f t="shared" si="114"/>
        <v>0</v>
      </c>
      <c r="I526" s="12">
        <f t="shared" si="110"/>
        <v>0</v>
      </c>
      <c r="J526" s="12">
        <v>5500</v>
      </c>
      <c r="K526" s="12">
        <f t="shared" si="115"/>
        <v>0</v>
      </c>
      <c r="L526" s="11">
        <f t="shared" si="116"/>
        <v>0</v>
      </c>
      <c r="M526" s="11"/>
    </row>
    <row r="527" spans="2:13" ht="27" customHeight="1">
      <c r="B527" s="13"/>
      <c r="C527" s="10" t="s">
        <v>14</v>
      </c>
      <c r="D527" s="11" t="s">
        <v>542</v>
      </c>
      <c r="E527" s="12">
        <v>9800</v>
      </c>
      <c r="F527" s="12"/>
      <c r="G527" s="12">
        <f t="shared" si="113"/>
        <v>0</v>
      </c>
      <c r="H527" s="12">
        <f t="shared" si="114"/>
        <v>0</v>
      </c>
      <c r="I527" s="12">
        <f t="shared" si="110"/>
        <v>0</v>
      </c>
      <c r="J527" s="12">
        <v>7260</v>
      </c>
      <c r="K527" s="12">
        <f t="shared" si="115"/>
        <v>2540</v>
      </c>
      <c r="L527" s="11">
        <f t="shared" si="116"/>
        <v>0</v>
      </c>
      <c r="M527" s="11" t="s">
        <v>352</v>
      </c>
    </row>
    <row r="528" spans="2:13" ht="27" customHeight="1">
      <c r="B528" s="13"/>
      <c r="C528" s="10" t="s">
        <v>14</v>
      </c>
      <c r="D528" s="11" t="s">
        <v>543</v>
      </c>
      <c r="E528" s="12">
        <v>9800</v>
      </c>
      <c r="F528" s="12"/>
      <c r="G528" s="12">
        <f t="shared" si="113"/>
        <v>0</v>
      </c>
      <c r="H528" s="12">
        <f t="shared" si="114"/>
        <v>0</v>
      </c>
      <c r="I528" s="12">
        <f t="shared" si="110"/>
        <v>0</v>
      </c>
      <c r="J528" s="12">
        <v>7260</v>
      </c>
      <c r="K528" s="12">
        <f t="shared" si="115"/>
        <v>2540</v>
      </c>
      <c r="L528" s="11">
        <f t="shared" si="116"/>
        <v>0</v>
      </c>
      <c r="M528" s="11" t="s">
        <v>352</v>
      </c>
    </row>
    <row r="529" spans="2:13" ht="27" customHeight="1">
      <c r="B529" s="13"/>
      <c r="C529" s="10" t="s">
        <v>14</v>
      </c>
      <c r="D529" s="11" t="s">
        <v>544</v>
      </c>
      <c r="E529" s="12">
        <v>9800</v>
      </c>
      <c r="F529" s="12"/>
      <c r="G529" s="12">
        <f t="shared" si="113"/>
        <v>0</v>
      </c>
      <c r="H529" s="12">
        <f t="shared" si="114"/>
        <v>0</v>
      </c>
      <c r="I529" s="12">
        <f t="shared" si="110"/>
        <v>0</v>
      </c>
      <c r="J529" s="12">
        <v>7260</v>
      </c>
      <c r="K529" s="12">
        <f t="shared" si="115"/>
        <v>2540</v>
      </c>
      <c r="L529" s="11">
        <f t="shared" si="116"/>
        <v>0</v>
      </c>
      <c r="M529" s="11" t="s">
        <v>352</v>
      </c>
    </row>
    <row r="530" spans="2:13" ht="27" customHeight="1">
      <c r="B530" s="17"/>
      <c r="C530" s="18"/>
      <c r="D530" s="19" t="s">
        <v>405</v>
      </c>
      <c r="E530" s="20"/>
      <c r="F530" s="20"/>
      <c r="G530" s="20">
        <f>SUM(G521:G529)</f>
        <v>0</v>
      </c>
      <c r="H530" s="20">
        <f>SUM(H521:H529)</f>
        <v>0</v>
      </c>
      <c r="I530" s="20">
        <f t="shared" si="110"/>
        <v>0</v>
      </c>
      <c r="J530" s="20"/>
      <c r="K530" s="20"/>
      <c r="L530" s="20">
        <f>SUM(L521:L529)</f>
        <v>0</v>
      </c>
      <c r="M530" s="19"/>
    </row>
    <row r="531" spans="2:13" ht="27" customHeight="1">
      <c r="B531" s="9" t="s">
        <v>545</v>
      </c>
      <c r="C531" s="10" t="s">
        <v>17</v>
      </c>
      <c r="D531" s="11" t="s">
        <v>546</v>
      </c>
      <c r="E531" s="12">
        <v>10000</v>
      </c>
      <c r="F531" s="12"/>
      <c r="G531" s="12">
        <f t="shared" ref="G531:G553" si="117">E531*F531</f>
        <v>0</v>
      </c>
      <c r="H531" s="12">
        <f t="shared" ref="H531:H553" si="118">G531/10</f>
        <v>0</v>
      </c>
      <c r="I531" s="12">
        <f t="shared" si="110"/>
        <v>0</v>
      </c>
      <c r="J531" s="12">
        <v>6490</v>
      </c>
      <c r="K531" s="12">
        <f t="shared" ref="K531:K553" si="119">E531-J531</f>
        <v>3510</v>
      </c>
      <c r="L531" s="11">
        <f t="shared" ref="L531:L553" si="120">F531*K531</f>
        <v>0</v>
      </c>
      <c r="M531" s="11"/>
    </row>
    <row r="532" spans="2:13" ht="27" customHeight="1">
      <c r="B532" s="13"/>
      <c r="C532" s="10" t="s">
        <v>17</v>
      </c>
      <c r="D532" s="11" t="s">
        <v>547</v>
      </c>
      <c r="E532" s="12">
        <v>10500</v>
      </c>
      <c r="F532" s="12"/>
      <c r="G532" s="12">
        <f t="shared" si="117"/>
        <v>0</v>
      </c>
      <c r="H532" s="12">
        <f t="shared" si="118"/>
        <v>0</v>
      </c>
      <c r="I532" s="12">
        <f t="shared" si="110"/>
        <v>0</v>
      </c>
      <c r="J532" s="12">
        <v>7940</v>
      </c>
      <c r="K532" s="12">
        <f t="shared" si="119"/>
        <v>2560</v>
      </c>
      <c r="L532" s="11">
        <f t="shared" si="120"/>
        <v>0</v>
      </c>
      <c r="M532" s="11"/>
    </row>
    <row r="533" spans="2:13" ht="27" customHeight="1">
      <c r="B533" s="13"/>
      <c r="C533" s="10" t="s">
        <v>17</v>
      </c>
      <c r="D533" s="11" t="s">
        <v>548</v>
      </c>
      <c r="E533" s="12">
        <v>10500</v>
      </c>
      <c r="F533" s="12"/>
      <c r="G533" s="12">
        <f t="shared" si="117"/>
        <v>0</v>
      </c>
      <c r="H533" s="12">
        <f t="shared" si="118"/>
        <v>0</v>
      </c>
      <c r="I533" s="12">
        <f t="shared" si="110"/>
        <v>0</v>
      </c>
      <c r="J533" s="12">
        <v>7940</v>
      </c>
      <c r="K533" s="12">
        <f t="shared" si="119"/>
        <v>2560</v>
      </c>
      <c r="L533" s="11">
        <f t="shared" si="120"/>
        <v>0</v>
      </c>
      <c r="M533" s="11"/>
    </row>
    <row r="534" spans="2:13" ht="27" customHeight="1">
      <c r="B534" s="13"/>
      <c r="C534" s="10" t="s">
        <v>17</v>
      </c>
      <c r="D534" s="11" t="s">
        <v>549</v>
      </c>
      <c r="E534" s="12">
        <v>10300</v>
      </c>
      <c r="F534" s="12"/>
      <c r="G534" s="12">
        <f t="shared" si="117"/>
        <v>0</v>
      </c>
      <c r="H534" s="12">
        <f t="shared" si="118"/>
        <v>0</v>
      </c>
      <c r="I534" s="12">
        <f t="shared" si="110"/>
        <v>0</v>
      </c>
      <c r="J534" s="12">
        <v>8260</v>
      </c>
      <c r="K534" s="12">
        <f t="shared" si="119"/>
        <v>2040</v>
      </c>
      <c r="L534" s="11">
        <f t="shared" si="120"/>
        <v>0</v>
      </c>
      <c r="M534" s="11"/>
    </row>
    <row r="535" spans="2:13" ht="27" customHeight="1">
      <c r="B535" s="13"/>
      <c r="C535" s="10" t="s">
        <v>14</v>
      </c>
      <c r="D535" s="11" t="s">
        <v>550</v>
      </c>
      <c r="E535" s="12">
        <v>11300</v>
      </c>
      <c r="F535" s="12"/>
      <c r="G535" s="12">
        <f t="shared" si="117"/>
        <v>0</v>
      </c>
      <c r="H535" s="12">
        <f t="shared" si="118"/>
        <v>0</v>
      </c>
      <c r="I535" s="12">
        <f t="shared" si="110"/>
        <v>0</v>
      </c>
      <c r="J535" s="12">
        <v>7000</v>
      </c>
      <c r="K535" s="12">
        <f t="shared" si="119"/>
        <v>4300</v>
      </c>
      <c r="L535" s="11">
        <f t="shared" si="120"/>
        <v>0</v>
      </c>
      <c r="M535" s="11"/>
    </row>
    <row r="536" spans="2:13" ht="27" customHeight="1">
      <c r="B536" s="13"/>
      <c r="C536" s="10" t="s">
        <v>14</v>
      </c>
      <c r="D536" s="11" t="s">
        <v>551</v>
      </c>
      <c r="E536" s="12">
        <v>11300</v>
      </c>
      <c r="F536" s="12"/>
      <c r="G536" s="12">
        <f t="shared" si="117"/>
        <v>0</v>
      </c>
      <c r="H536" s="12">
        <f t="shared" si="118"/>
        <v>0</v>
      </c>
      <c r="I536" s="12">
        <f t="shared" si="110"/>
        <v>0</v>
      </c>
      <c r="J536" s="12">
        <v>7000</v>
      </c>
      <c r="K536" s="12">
        <f t="shared" si="119"/>
        <v>4300</v>
      </c>
      <c r="L536" s="11">
        <f t="shared" si="120"/>
        <v>0</v>
      </c>
      <c r="M536" s="11"/>
    </row>
    <row r="537" spans="2:13" ht="27" customHeight="1">
      <c r="B537" s="13"/>
      <c r="C537" s="10" t="s">
        <v>23</v>
      </c>
      <c r="D537" s="11" t="s">
        <v>552</v>
      </c>
      <c r="E537" s="12">
        <v>340</v>
      </c>
      <c r="F537" s="12"/>
      <c r="G537" s="12">
        <f t="shared" si="117"/>
        <v>0</v>
      </c>
      <c r="H537" s="12">
        <f t="shared" si="118"/>
        <v>0</v>
      </c>
      <c r="I537" s="12">
        <f t="shared" si="110"/>
        <v>0</v>
      </c>
      <c r="J537" s="12">
        <v>304</v>
      </c>
      <c r="K537" s="12">
        <f t="shared" si="119"/>
        <v>36</v>
      </c>
      <c r="L537" s="11">
        <f t="shared" si="120"/>
        <v>0</v>
      </c>
      <c r="M537" s="11"/>
    </row>
    <row r="538" spans="2:13" ht="27" customHeight="1">
      <c r="B538" s="13"/>
      <c r="C538" s="10" t="s">
        <v>45</v>
      </c>
      <c r="D538" s="11" t="s">
        <v>553</v>
      </c>
      <c r="E538" s="25">
        <v>10000</v>
      </c>
      <c r="F538" s="25"/>
      <c r="G538" s="25">
        <f t="shared" si="117"/>
        <v>0</v>
      </c>
      <c r="H538" s="25">
        <f t="shared" si="118"/>
        <v>0</v>
      </c>
      <c r="I538" s="25">
        <f t="shared" si="110"/>
        <v>0</v>
      </c>
      <c r="J538" s="25">
        <v>4450</v>
      </c>
      <c r="K538" s="12">
        <f t="shared" si="119"/>
        <v>5550</v>
      </c>
      <c r="L538" s="72">
        <f t="shared" si="120"/>
        <v>0</v>
      </c>
      <c r="M538" s="11"/>
    </row>
    <row r="539" spans="2:13" ht="27" customHeight="1">
      <c r="B539" s="13"/>
      <c r="C539" s="10" t="s">
        <v>45</v>
      </c>
      <c r="D539" s="11" t="s">
        <v>554</v>
      </c>
      <c r="E539" s="12">
        <v>110</v>
      </c>
      <c r="F539" s="12"/>
      <c r="G539" s="12">
        <f t="shared" si="117"/>
        <v>0</v>
      </c>
      <c r="H539" s="12">
        <f t="shared" si="118"/>
        <v>0</v>
      </c>
      <c r="I539" s="12">
        <f t="shared" si="110"/>
        <v>0</v>
      </c>
      <c r="J539" s="12">
        <v>94</v>
      </c>
      <c r="K539" s="12">
        <f t="shared" si="119"/>
        <v>16</v>
      </c>
      <c r="L539" s="11">
        <f t="shared" si="120"/>
        <v>0</v>
      </c>
      <c r="M539" s="11"/>
    </row>
    <row r="540" spans="2:13" ht="27" customHeight="1">
      <c r="B540" s="13"/>
      <c r="C540" s="10" t="s">
        <v>45</v>
      </c>
      <c r="D540" s="11" t="s">
        <v>555</v>
      </c>
      <c r="E540" s="12">
        <v>90</v>
      </c>
      <c r="F540" s="12"/>
      <c r="G540" s="12">
        <f t="shared" si="117"/>
        <v>0</v>
      </c>
      <c r="H540" s="12">
        <f t="shared" si="118"/>
        <v>0</v>
      </c>
      <c r="I540" s="12">
        <f t="shared" si="110"/>
        <v>0</v>
      </c>
      <c r="J540" s="12">
        <v>63</v>
      </c>
      <c r="K540" s="12">
        <f t="shared" si="119"/>
        <v>27</v>
      </c>
      <c r="L540" s="11">
        <f t="shared" si="120"/>
        <v>0</v>
      </c>
      <c r="M540" s="11"/>
    </row>
    <row r="541" spans="2:13" ht="27" customHeight="1">
      <c r="B541" s="13"/>
      <c r="C541" s="10" t="s">
        <v>45</v>
      </c>
      <c r="D541" s="11" t="s">
        <v>556</v>
      </c>
      <c r="E541" s="12">
        <v>70</v>
      </c>
      <c r="F541" s="12"/>
      <c r="G541" s="12">
        <f t="shared" si="117"/>
        <v>0</v>
      </c>
      <c r="H541" s="12">
        <f t="shared" si="118"/>
        <v>0</v>
      </c>
      <c r="I541" s="12">
        <f t="shared" si="110"/>
        <v>0</v>
      </c>
      <c r="J541" s="12">
        <v>49</v>
      </c>
      <c r="K541" s="12">
        <f t="shared" si="119"/>
        <v>21</v>
      </c>
      <c r="L541" s="11">
        <f t="shared" si="120"/>
        <v>0</v>
      </c>
      <c r="M541" s="11"/>
    </row>
    <row r="542" spans="2:13" ht="24.75" customHeight="1">
      <c r="B542" s="13"/>
      <c r="C542" s="10" t="s">
        <v>45</v>
      </c>
      <c r="D542" s="11" t="s">
        <v>557</v>
      </c>
      <c r="E542" s="12">
        <v>90</v>
      </c>
      <c r="F542" s="12"/>
      <c r="G542" s="12">
        <f t="shared" si="117"/>
        <v>0</v>
      </c>
      <c r="H542" s="12">
        <f t="shared" si="118"/>
        <v>0</v>
      </c>
      <c r="I542" s="12">
        <f t="shared" si="110"/>
        <v>0</v>
      </c>
      <c r="J542" s="12">
        <v>69</v>
      </c>
      <c r="K542" s="12">
        <f t="shared" si="119"/>
        <v>21</v>
      </c>
      <c r="L542" s="11">
        <f t="shared" si="120"/>
        <v>0</v>
      </c>
      <c r="M542" s="11"/>
    </row>
    <row r="543" spans="2:13" ht="27" customHeight="1">
      <c r="B543" s="13"/>
      <c r="C543" s="10" t="s">
        <v>45</v>
      </c>
      <c r="D543" s="11" t="s">
        <v>558</v>
      </c>
      <c r="E543" s="12">
        <v>90</v>
      </c>
      <c r="F543" s="12"/>
      <c r="G543" s="12">
        <f t="shared" si="117"/>
        <v>0</v>
      </c>
      <c r="H543" s="12">
        <f t="shared" si="118"/>
        <v>0</v>
      </c>
      <c r="I543" s="12">
        <f t="shared" si="110"/>
        <v>0</v>
      </c>
      <c r="J543" s="12">
        <v>60</v>
      </c>
      <c r="K543" s="12">
        <f t="shared" si="119"/>
        <v>30</v>
      </c>
      <c r="L543" s="11">
        <f t="shared" si="120"/>
        <v>0</v>
      </c>
      <c r="M543" s="11"/>
    </row>
    <row r="544" spans="2:13" ht="27" customHeight="1">
      <c r="B544" s="13"/>
      <c r="C544" s="10" t="s">
        <v>45</v>
      </c>
      <c r="D544" s="11" t="s">
        <v>559</v>
      </c>
      <c r="E544" s="12">
        <v>90</v>
      </c>
      <c r="F544" s="12"/>
      <c r="G544" s="12">
        <f t="shared" si="117"/>
        <v>0</v>
      </c>
      <c r="H544" s="12">
        <f t="shared" si="118"/>
        <v>0</v>
      </c>
      <c r="I544" s="12">
        <f t="shared" si="110"/>
        <v>0</v>
      </c>
      <c r="J544" s="12">
        <v>59</v>
      </c>
      <c r="K544" s="12">
        <f t="shared" si="119"/>
        <v>31</v>
      </c>
      <c r="L544" s="11">
        <f t="shared" si="120"/>
        <v>0</v>
      </c>
      <c r="M544" s="11"/>
    </row>
    <row r="545" spans="2:13" ht="27" customHeight="1">
      <c r="B545" s="13"/>
      <c r="C545" s="10" t="s">
        <v>45</v>
      </c>
      <c r="D545" s="11" t="s">
        <v>560</v>
      </c>
      <c r="E545" s="12">
        <v>90</v>
      </c>
      <c r="F545" s="12"/>
      <c r="G545" s="12">
        <f t="shared" si="117"/>
        <v>0</v>
      </c>
      <c r="H545" s="12">
        <f t="shared" si="118"/>
        <v>0</v>
      </c>
      <c r="I545" s="12">
        <f t="shared" si="110"/>
        <v>0</v>
      </c>
      <c r="J545" s="12">
        <v>70</v>
      </c>
      <c r="K545" s="12">
        <f t="shared" si="119"/>
        <v>20</v>
      </c>
      <c r="L545" s="11">
        <f t="shared" si="120"/>
        <v>0</v>
      </c>
      <c r="M545" s="11"/>
    </row>
    <row r="546" spans="2:13" ht="27" customHeight="1">
      <c r="B546" s="13"/>
      <c r="C546" s="10" t="s">
        <v>45</v>
      </c>
      <c r="D546" s="11" t="s">
        <v>561</v>
      </c>
      <c r="E546" s="12">
        <v>850000</v>
      </c>
      <c r="F546" s="73"/>
      <c r="G546" s="12">
        <f t="shared" si="117"/>
        <v>0</v>
      </c>
      <c r="H546" s="12">
        <f t="shared" si="118"/>
        <v>0</v>
      </c>
      <c r="I546" s="12">
        <f t="shared" si="110"/>
        <v>0</v>
      </c>
      <c r="J546" s="12">
        <v>1099960</v>
      </c>
      <c r="K546" s="12">
        <f t="shared" si="119"/>
        <v>-249960</v>
      </c>
      <c r="L546" s="74">
        <f t="shared" si="120"/>
        <v>0</v>
      </c>
      <c r="M546" s="11" t="s">
        <v>562</v>
      </c>
    </row>
    <row r="547" spans="2:13" ht="29.25" customHeight="1">
      <c r="B547" s="13"/>
      <c r="C547" s="10" t="s">
        <v>45</v>
      </c>
      <c r="D547" s="75" t="s">
        <v>563</v>
      </c>
      <c r="E547" s="12">
        <v>1342000</v>
      </c>
      <c r="F547" s="76"/>
      <c r="G547" s="12">
        <f t="shared" si="117"/>
        <v>0</v>
      </c>
      <c r="H547" s="12">
        <f t="shared" si="118"/>
        <v>0</v>
      </c>
      <c r="I547" s="12">
        <f t="shared" si="110"/>
        <v>0</v>
      </c>
      <c r="J547" s="12">
        <v>1307000</v>
      </c>
      <c r="K547" s="12">
        <f t="shared" si="119"/>
        <v>35000</v>
      </c>
      <c r="L547" s="74">
        <f t="shared" si="120"/>
        <v>0</v>
      </c>
      <c r="M547" s="77" t="s">
        <v>564</v>
      </c>
    </row>
    <row r="548" spans="2:13" ht="29.25" customHeight="1">
      <c r="B548" s="13"/>
      <c r="C548" s="10" t="s">
        <v>45</v>
      </c>
      <c r="D548" s="11" t="s">
        <v>565</v>
      </c>
      <c r="E548" s="12">
        <v>1583748</v>
      </c>
      <c r="F548" s="73"/>
      <c r="G548" s="12">
        <f t="shared" si="117"/>
        <v>0</v>
      </c>
      <c r="H548" s="12">
        <f t="shared" si="118"/>
        <v>0</v>
      </c>
      <c r="I548" s="12">
        <f t="shared" si="110"/>
        <v>0</v>
      </c>
      <c r="J548" s="51">
        <v>1555827</v>
      </c>
      <c r="K548" s="12">
        <f t="shared" si="119"/>
        <v>27921</v>
      </c>
      <c r="L548" s="74">
        <f t="shared" si="120"/>
        <v>0</v>
      </c>
      <c r="M548" s="77" t="s">
        <v>566</v>
      </c>
    </row>
    <row r="549" spans="2:13" ht="29.25" customHeight="1">
      <c r="B549" s="13"/>
      <c r="C549" s="10" t="s">
        <v>45</v>
      </c>
      <c r="D549" s="11" t="s">
        <v>567</v>
      </c>
      <c r="E549" s="12">
        <v>1583748</v>
      </c>
      <c r="F549" s="73"/>
      <c r="G549" s="12">
        <f t="shared" si="117"/>
        <v>0</v>
      </c>
      <c r="H549" s="12">
        <f t="shared" si="118"/>
        <v>0</v>
      </c>
      <c r="I549" s="12">
        <f t="shared" si="110"/>
        <v>0</v>
      </c>
      <c r="J549" s="51">
        <v>1555827</v>
      </c>
      <c r="K549" s="12">
        <f t="shared" si="119"/>
        <v>27921</v>
      </c>
      <c r="L549" s="74">
        <f t="shared" si="120"/>
        <v>0</v>
      </c>
      <c r="M549" s="77" t="s">
        <v>566</v>
      </c>
    </row>
    <row r="550" spans="2:13" ht="29.25" customHeight="1">
      <c r="B550" s="13"/>
      <c r="C550" s="10" t="s">
        <v>99</v>
      </c>
      <c r="D550" s="11" t="s">
        <v>568</v>
      </c>
      <c r="E550" s="12">
        <v>40000</v>
      </c>
      <c r="F550" s="76"/>
      <c r="G550" s="12">
        <f t="shared" si="117"/>
        <v>0</v>
      </c>
      <c r="H550" s="12">
        <f t="shared" si="118"/>
        <v>0</v>
      </c>
      <c r="I550" s="12">
        <f t="shared" si="110"/>
        <v>0</v>
      </c>
      <c r="J550" s="12">
        <v>0</v>
      </c>
      <c r="K550" s="12">
        <f t="shared" si="119"/>
        <v>40000</v>
      </c>
      <c r="L550" s="74">
        <f t="shared" si="120"/>
        <v>0</v>
      </c>
      <c r="M550" s="11"/>
    </row>
    <row r="551" spans="2:13" ht="27" customHeight="1">
      <c r="B551" s="13"/>
      <c r="C551" s="10" t="s">
        <v>99</v>
      </c>
      <c r="D551" s="11" t="s">
        <v>569</v>
      </c>
      <c r="E551" s="12">
        <v>1123631</v>
      </c>
      <c r="F551" s="12"/>
      <c r="G551" s="12">
        <f t="shared" si="117"/>
        <v>0</v>
      </c>
      <c r="H551" s="51">
        <f t="shared" si="118"/>
        <v>0</v>
      </c>
      <c r="I551" s="12">
        <f t="shared" si="110"/>
        <v>0</v>
      </c>
      <c r="J551" s="12">
        <v>906018</v>
      </c>
      <c r="K551" s="12">
        <f t="shared" si="119"/>
        <v>217613</v>
      </c>
      <c r="L551" s="74">
        <f t="shared" si="120"/>
        <v>0</v>
      </c>
      <c r="M551" s="11"/>
    </row>
    <row r="552" spans="2:13" ht="27" customHeight="1">
      <c r="B552" s="13"/>
      <c r="C552" s="10" t="s">
        <v>99</v>
      </c>
      <c r="D552" s="11" t="s">
        <v>570</v>
      </c>
      <c r="E552" s="12">
        <v>193856</v>
      </c>
      <c r="F552" s="12"/>
      <c r="G552" s="12">
        <f t="shared" si="117"/>
        <v>0</v>
      </c>
      <c r="H552" s="51">
        <f t="shared" si="118"/>
        <v>0</v>
      </c>
      <c r="I552" s="12">
        <f t="shared" si="110"/>
        <v>0</v>
      </c>
      <c r="J552" s="12">
        <v>247884</v>
      </c>
      <c r="K552" s="12">
        <f t="shared" si="119"/>
        <v>-54028</v>
      </c>
      <c r="L552" s="74">
        <f t="shared" si="120"/>
        <v>0</v>
      </c>
      <c r="M552" s="11"/>
    </row>
    <row r="553" spans="2:13" ht="27" customHeight="1">
      <c r="B553" s="13"/>
      <c r="C553" s="10" t="s">
        <v>99</v>
      </c>
      <c r="D553" s="11" t="s">
        <v>292</v>
      </c>
      <c r="E553" s="12">
        <v>931000</v>
      </c>
      <c r="F553" s="12"/>
      <c r="G553" s="12">
        <f t="shared" si="117"/>
        <v>0</v>
      </c>
      <c r="H553" s="12">
        <f t="shared" si="118"/>
        <v>0</v>
      </c>
      <c r="I553" s="12">
        <f t="shared" si="110"/>
        <v>0</v>
      </c>
      <c r="J553" s="12">
        <v>880000</v>
      </c>
      <c r="K553" s="12">
        <f t="shared" si="119"/>
        <v>51000</v>
      </c>
      <c r="L553" s="74">
        <f t="shared" si="120"/>
        <v>0</v>
      </c>
      <c r="M553" s="11"/>
    </row>
    <row r="554" spans="2:13" ht="27" customHeight="1">
      <c r="B554" s="17"/>
      <c r="C554" s="18"/>
      <c r="D554" s="19" t="s">
        <v>405</v>
      </c>
      <c r="E554" s="20"/>
      <c r="F554" s="20"/>
      <c r="G554" s="20">
        <f>SUM(G531:G553)</f>
        <v>0</v>
      </c>
      <c r="H554" s="20">
        <f>SUM(H531:H553)</f>
        <v>0</v>
      </c>
      <c r="I554" s="20">
        <f t="shared" si="110"/>
        <v>0</v>
      </c>
      <c r="J554" s="20"/>
      <c r="K554" s="20"/>
      <c r="L554" s="20">
        <f>SUM(L531:L553)</f>
        <v>0</v>
      </c>
      <c r="M554" s="19"/>
    </row>
    <row r="555" spans="2:13" ht="27" customHeight="1">
      <c r="B555" s="27" t="s">
        <v>571</v>
      </c>
      <c r="C555" s="10" t="s">
        <v>23</v>
      </c>
      <c r="D555" s="11" t="s">
        <v>572</v>
      </c>
      <c r="E555" s="12">
        <v>590</v>
      </c>
      <c r="F555" s="12"/>
      <c r="G555" s="12">
        <f>E555*F555</f>
        <v>0</v>
      </c>
      <c r="H555" s="12">
        <f>G555/10</f>
        <v>0</v>
      </c>
      <c r="I555" s="12">
        <f t="shared" ref="I555:I623" si="121">G555+H555</f>
        <v>0</v>
      </c>
      <c r="J555" s="12">
        <v>520</v>
      </c>
      <c r="K555" s="12">
        <f>E555-J555</f>
        <v>70</v>
      </c>
      <c r="L555" s="11">
        <f>F555*K555</f>
        <v>0</v>
      </c>
      <c r="M555" s="11" t="s">
        <v>573</v>
      </c>
    </row>
    <row r="556" spans="2:13" ht="27" customHeight="1">
      <c r="B556" s="30"/>
      <c r="C556" s="10"/>
      <c r="D556" s="11"/>
      <c r="E556" s="12"/>
      <c r="F556" s="12"/>
      <c r="G556" s="12">
        <f>E556*F556</f>
        <v>0</v>
      </c>
      <c r="H556" s="12">
        <f>G556/10</f>
        <v>0</v>
      </c>
      <c r="I556" s="12">
        <f t="shared" si="121"/>
        <v>0</v>
      </c>
      <c r="J556" s="12"/>
      <c r="K556" s="12">
        <f>E556-J556</f>
        <v>0</v>
      </c>
      <c r="L556" s="11">
        <f>F556*K556</f>
        <v>0</v>
      </c>
      <c r="M556" s="11"/>
    </row>
    <row r="557" spans="2:13" ht="27" customHeight="1">
      <c r="B557" s="38"/>
      <c r="C557" s="18"/>
      <c r="D557" s="19" t="s">
        <v>405</v>
      </c>
      <c r="E557" s="20"/>
      <c r="F557" s="20"/>
      <c r="G557" s="20">
        <f>SUM(G555:G556)</f>
        <v>0</v>
      </c>
      <c r="H557" s="20">
        <f>SUM(H555:H556)</f>
        <v>0</v>
      </c>
      <c r="I557" s="20">
        <f t="shared" si="121"/>
        <v>0</v>
      </c>
      <c r="J557" s="20"/>
      <c r="K557" s="20"/>
      <c r="L557" s="20">
        <f>SUM(L555:L556)</f>
        <v>0</v>
      </c>
      <c r="M557" s="19"/>
    </row>
    <row r="558" spans="2:13" ht="27" customHeight="1">
      <c r="B558" s="27" t="s">
        <v>574</v>
      </c>
      <c r="C558" s="10" t="s">
        <v>23</v>
      </c>
      <c r="D558" s="11" t="s">
        <v>575</v>
      </c>
      <c r="E558" s="12">
        <v>600</v>
      </c>
      <c r="F558" s="12"/>
      <c r="G558" s="12">
        <f>E558*F558</f>
        <v>0</v>
      </c>
      <c r="H558" s="12">
        <f>G558/10</f>
        <v>0</v>
      </c>
      <c r="I558" s="12">
        <f t="shared" si="121"/>
        <v>0</v>
      </c>
      <c r="J558" s="12"/>
      <c r="K558" s="12">
        <f>E558-J558</f>
        <v>600</v>
      </c>
      <c r="L558" s="11">
        <f>F558*K558</f>
        <v>0</v>
      </c>
      <c r="M558" s="11"/>
    </row>
    <row r="559" spans="2:13" ht="27" customHeight="1">
      <c r="B559" s="30"/>
      <c r="C559" s="10" t="s">
        <v>99</v>
      </c>
      <c r="D559" s="11" t="s">
        <v>100</v>
      </c>
      <c r="E559" s="12">
        <v>31818</v>
      </c>
      <c r="F559" s="12"/>
      <c r="G559" s="12">
        <f>E559*F559</f>
        <v>0</v>
      </c>
      <c r="H559" s="12">
        <f>G559/10</f>
        <v>0</v>
      </c>
      <c r="I559" s="12">
        <f t="shared" si="121"/>
        <v>0</v>
      </c>
      <c r="J559" s="12"/>
      <c r="K559" s="12">
        <f>E559-J559</f>
        <v>31818</v>
      </c>
      <c r="L559" s="11">
        <f>F559*K559</f>
        <v>0</v>
      </c>
      <c r="M559" s="11"/>
    </row>
    <row r="560" spans="2:13" ht="27" customHeight="1">
      <c r="B560" s="30"/>
      <c r="C560" s="10"/>
      <c r="D560" s="11"/>
      <c r="E560" s="12"/>
      <c r="F560" s="12"/>
      <c r="G560" s="12">
        <f>E560*F560</f>
        <v>0</v>
      </c>
      <c r="H560" s="12">
        <f>G560/10</f>
        <v>0</v>
      </c>
      <c r="I560" s="12">
        <f t="shared" si="121"/>
        <v>0</v>
      </c>
      <c r="J560" s="12"/>
      <c r="K560" s="12">
        <f>E560-J560</f>
        <v>0</v>
      </c>
      <c r="L560" s="11">
        <f>F560*K560</f>
        <v>0</v>
      </c>
      <c r="M560" s="11"/>
    </row>
    <row r="561" spans="2:13" ht="27" customHeight="1">
      <c r="B561" s="38"/>
      <c r="C561" s="18"/>
      <c r="D561" s="19" t="s">
        <v>405</v>
      </c>
      <c r="E561" s="20"/>
      <c r="F561" s="20"/>
      <c r="G561" s="20">
        <f>SUM(G558:G560)</f>
        <v>0</v>
      </c>
      <c r="H561" s="20">
        <f>SUM(H558:H560)</f>
        <v>0</v>
      </c>
      <c r="I561" s="20">
        <f t="shared" si="121"/>
        <v>0</v>
      </c>
      <c r="J561" s="20"/>
      <c r="K561" s="20"/>
      <c r="L561" s="20">
        <f>SUM(L558:L560)</f>
        <v>0</v>
      </c>
      <c r="M561" s="19"/>
    </row>
    <row r="562" spans="2:13" ht="27" customHeight="1">
      <c r="B562" s="9" t="s">
        <v>576</v>
      </c>
      <c r="C562" s="10" t="s">
        <v>23</v>
      </c>
      <c r="D562" s="11" t="s">
        <v>577</v>
      </c>
      <c r="E562" s="12">
        <v>690</v>
      </c>
      <c r="F562" s="12"/>
      <c r="G562" s="12">
        <f>E562*F562</f>
        <v>0</v>
      </c>
      <c r="H562" s="12">
        <f>G562/10</f>
        <v>0</v>
      </c>
      <c r="I562" s="12">
        <f t="shared" si="121"/>
        <v>0</v>
      </c>
      <c r="J562" s="12">
        <v>570</v>
      </c>
      <c r="K562" s="12">
        <f>E562-J562</f>
        <v>120</v>
      </c>
      <c r="L562" s="11">
        <f>F562*K562</f>
        <v>0</v>
      </c>
      <c r="M562" s="11"/>
    </row>
    <row r="563" spans="2:13" ht="27" customHeight="1">
      <c r="B563" s="13"/>
      <c r="C563" s="10" t="s">
        <v>99</v>
      </c>
      <c r="D563" s="11" t="s">
        <v>578</v>
      </c>
      <c r="E563" s="12">
        <v>300000</v>
      </c>
      <c r="F563" s="12"/>
      <c r="G563" s="12">
        <f>E563*F563</f>
        <v>0</v>
      </c>
      <c r="H563" s="12">
        <f>G563/10</f>
        <v>0</v>
      </c>
      <c r="I563" s="12">
        <f t="shared" si="121"/>
        <v>0</v>
      </c>
      <c r="J563" s="12"/>
      <c r="K563" s="12">
        <f>E563-J563</f>
        <v>300000</v>
      </c>
      <c r="L563" s="11">
        <f>F563*K563</f>
        <v>0</v>
      </c>
      <c r="M563" s="11"/>
    </row>
    <row r="564" spans="2:13" ht="27" customHeight="1">
      <c r="B564" s="17"/>
      <c r="C564" s="18"/>
      <c r="D564" s="19" t="s">
        <v>405</v>
      </c>
      <c r="E564" s="20"/>
      <c r="F564" s="20"/>
      <c r="G564" s="20">
        <f>SUM(G562:G563)</f>
        <v>0</v>
      </c>
      <c r="H564" s="20">
        <f>SUM(H562:H563)</f>
        <v>0</v>
      </c>
      <c r="I564" s="20">
        <f t="shared" si="121"/>
        <v>0</v>
      </c>
      <c r="J564" s="20"/>
      <c r="K564" s="20"/>
      <c r="L564" s="20">
        <f>SUM(L562:L563)</f>
        <v>0</v>
      </c>
      <c r="M564" s="19"/>
    </row>
    <row r="565" spans="2:13" ht="27" customHeight="1">
      <c r="B565" s="9" t="s">
        <v>579</v>
      </c>
      <c r="C565" s="10" t="s">
        <v>45</v>
      </c>
      <c r="D565" s="11" t="s">
        <v>580</v>
      </c>
      <c r="E565" s="12">
        <v>35000</v>
      </c>
      <c r="F565" s="12"/>
      <c r="G565" s="12">
        <f>E565*F565</f>
        <v>0</v>
      </c>
      <c r="H565" s="12">
        <f>G565/10</f>
        <v>0</v>
      </c>
      <c r="I565" s="12">
        <f t="shared" si="121"/>
        <v>0</v>
      </c>
      <c r="J565" s="12">
        <v>25000</v>
      </c>
      <c r="K565" s="12">
        <f>E565-J565</f>
        <v>10000</v>
      </c>
      <c r="L565" s="11">
        <f>F565*K565</f>
        <v>0</v>
      </c>
      <c r="M565" s="11" t="s">
        <v>581</v>
      </c>
    </row>
    <row r="566" spans="2:13" ht="27" customHeight="1">
      <c r="B566" s="13"/>
      <c r="C566" s="10" t="s">
        <v>45</v>
      </c>
      <c r="D566" s="11" t="s">
        <v>582</v>
      </c>
      <c r="E566" s="12">
        <v>35000</v>
      </c>
      <c r="F566" s="12"/>
      <c r="G566" s="12">
        <f>E566*F566</f>
        <v>0</v>
      </c>
      <c r="H566" s="12">
        <f>G566/10</f>
        <v>0</v>
      </c>
      <c r="I566" s="12">
        <f t="shared" si="121"/>
        <v>0</v>
      </c>
      <c r="J566" s="12">
        <v>28000</v>
      </c>
      <c r="K566" s="12">
        <f>E566-J566</f>
        <v>7000</v>
      </c>
      <c r="L566" s="11">
        <f>F566*K566</f>
        <v>0</v>
      </c>
      <c r="M566" s="11" t="s">
        <v>583</v>
      </c>
    </row>
    <row r="567" spans="2:13" ht="27" customHeight="1">
      <c r="B567" s="17"/>
      <c r="C567" s="18"/>
      <c r="D567" s="19" t="s">
        <v>405</v>
      </c>
      <c r="E567" s="20"/>
      <c r="F567" s="20"/>
      <c r="G567" s="20">
        <f>SUM(G565:G566)</f>
        <v>0</v>
      </c>
      <c r="H567" s="20">
        <f>SUM(H565:H566)</f>
        <v>0</v>
      </c>
      <c r="I567" s="20">
        <f t="shared" si="121"/>
        <v>0</v>
      </c>
      <c r="J567" s="20"/>
      <c r="K567" s="20"/>
      <c r="L567" s="20">
        <f>SUM(L565:L566)</f>
        <v>0</v>
      </c>
      <c r="M567" s="19"/>
    </row>
    <row r="568" spans="2:13" ht="27" customHeight="1">
      <c r="B568" s="9" t="s">
        <v>584</v>
      </c>
      <c r="C568" s="10" t="s">
        <v>45</v>
      </c>
      <c r="D568" s="11" t="s">
        <v>585</v>
      </c>
      <c r="E568" s="12">
        <v>72</v>
      </c>
      <c r="F568" s="12"/>
      <c r="G568" s="12">
        <f>E568*F568</f>
        <v>0</v>
      </c>
      <c r="H568" s="12">
        <f>G568/10</f>
        <v>0</v>
      </c>
      <c r="I568" s="12">
        <f t="shared" si="121"/>
        <v>0</v>
      </c>
      <c r="J568" s="12">
        <v>60</v>
      </c>
      <c r="K568" s="12">
        <f>E568-J568</f>
        <v>12</v>
      </c>
      <c r="L568" s="11">
        <f>F568*K568</f>
        <v>0</v>
      </c>
      <c r="M568" s="11" t="s">
        <v>586</v>
      </c>
    </row>
    <row r="569" spans="2:13" ht="27" customHeight="1">
      <c r="B569" s="17"/>
      <c r="C569" s="18"/>
      <c r="D569" s="19" t="s">
        <v>405</v>
      </c>
      <c r="E569" s="20"/>
      <c r="F569" s="20"/>
      <c r="G569" s="20">
        <f>SUM(G568:G568)</f>
        <v>0</v>
      </c>
      <c r="H569" s="20">
        <f>SUM(H568:H568)</f>
        <v>0</v>
      </c>
      <c r="I569" s="20">
        <f t="shared" si="121"/>
        <v>0</v>
      </c>
      <c r="J569" s="20"/>
      <c r="K569" s="20"/>
      <c r="L569" s="20">
        <f>SUM(L568:L568)</f>
        <v>0</v>
      </c>
      <c r="M569" s="19"/>
    </row>
    <row r="570" spans="2:13" ht="27" customHeight="1">
      <c r="B570" s="9" t="s">
        <v>587</v>
      </c>
      <c r="C570" s="10" t="s">
        <v>372</v>
      </c>
      <c r="D570" s="11" t="s">
        <v>588</v>
      </c>
      <c r="E570" s="12">
        <v>400</v>
      </c>
      <c r="F570" s="12"/>
      <c r="G570" s="12">
        <f>E570*F570</f>
        <v>0</v>
      </c>
      <c r="H570" s="12">
        <f>G570/10</f>
        <v>0</v>
      </c>
      <c r="I570" s="12">
        <f t="shared" si="121"/>
        <v>0</v>
      </c>
      <c r="J570" s="12">
        <v>318</v>
      </c>
      <c r="K570" s="12">
        <f>E570-J570</f>
        <v>82</v>
      </c>
      <c r="L570" s="11">
        <f>F570*K570</f>
        <v>0</v>
      </c>
      <c r="M570" s="11"/>
    </row>
    <row r="571" spans="2:13" ht="27" customHeight="1">
      <c r="B571" s="17"/>
      <c r="C571" s="18"/>
      <c r="D571" s="19" t="s">
        <v>405</v>
      </c>
      <c r="E571" s="20"/>
      <c r="F571" s="20"/>
      <c r="G571" s="20">
        <f>SUM(G570:G570)</f>
        <v>0</v>
      </c>
      <c r="H571" s="20">
        <f>SUM(H570:H570)</f>
        <v>0</v>
      </c>
      <c r="I571" s="20">
        <f t="shared" si="121"/>
        <v>0</v>
      </c>
      <c r="J571" s="20"/>
      <c r="K571" s="20"/>
      <c r="L571" s="20">
        <f>SUM(L570:L570)</f>
        <v>0</v>
      </c>
      <c r="M571" s="19"/>
    </row>
    <row r="572" spans="2:13" ht="27" customHeight="1">
      <c r="B572" s="27" t="s">
        <v>589</v>
      </c>
      <c r="C572" s="78" t="s">
        <v>372</v>
      </c>
      <c r="D572" s="48" t="s">
        <v>590</v>
      </c>
      <c r="E572" s="52">
        <v>1500</v>
      </c>
      <c r="F572" s="52"/>
      <c r="G572" s="52">
        <f t="shared" ref="G572:G595" si="122">E572*F572</f>
        <v>0</v>
      </c>
      <c r="H572" s="52">
        <f t="shared" ref="H572:H593" si="123">G572/10</f>
        <v>0</v>
      </c>
      <c r="I572" s="52">
        <f t="shared" si="121"/>
        <v>0</v>
      </c>
      <c r="J572" s="52">
        <v>1128</v>
      </c>
      <c r="K572" s="52">
        <f t="shared" ref="K572:K595" si="124">E572-J572</f>
        <v>372</v>
      </c>
      <c r="L572" s="48">
        <f t="shared" ref="L572:L578" si="125">F572*K572</f>
        <v>0</v>
      </c>
      <c r="M572" s="48" t="s">
        <v>591</v>
      </c>
    </row>
    <row r="573" spans="2:13" ht="27" customHeight="1">
      <c r="B573" s="30"/>
      <c r="C573" s="10" t="s">
        <v>372</v>
      </c>
      <c r="D573" s="11" t="s">
        <v>592</v>
      </c>
      <c r="E573" s="12">
        <v>288</v>
      </c>
      <c r="F573" s="12"/>
      <c r="G573" s="12">
        <f t="shared" si="122"/>
        <v>0</v>
      </c>
      <c r="H573" s="12">
        <f t="shared" si="123"/>
        <v>0</v>
      </c>
      <c r="I573" s="12">
        <f t="shared" si="121"/>
        <v>0</v>
      </c>
      <c r="J573" s="12">
        <v>210</v>
      </c>
      <c r="K573" s="12">
        <f t="shared" si="124"/>
        <v>78</v>
      </c>
      <c r="L573" s="11">
        <f t="shared" si="125"/>
        <v>0</v>
      </c>
      <c r="M573" s="11" t="s">
        <v>591</v>
      </c>
    </row>
    <row r="574" spans="2:13" ht="27" customHeight="1">
      <c r="B574" s="30"/>
      <c r="C574" s="10" t="s">
        <v>372</v>
      </c>
      <c r="D574" s="11" t="s">
        <v>593</v>
      </c>
      <c r="E574" s="12">
        <v>215</v>
      </c>
      <c r="F574" s="12"/>
      <c r="G574" s="12">
        <f t="shared" si="122"/>
        <v>0</v>
      </c>
      <c r="H574" s="12">
        <f t="shared" si="123"/>
        <v>0</v>
      </c>
      <c r="I574" s="12">
        <f t="shared" si="121"/>
        <v>0</v>
      </c>
      <c r="J574" s="12">
        <v>150</v>
      </c>
      <c r="K574" s="12">
        <f t="shared" si="124"/>
        <v>65</v>
      </c>
      <c r="L574" s="11">
        <f t="shared" si="125"/>
        <v>0</v>
      </c>
      <c r="M574" s="11" t="s">
        <v>591</v>
      </c>
    </row>
    <row r="575" spans="2:13" ht="27" customHeight="1">
      <c r="B575" s="30"/>
      <c r="C575" s="78" t="s">
        <v>372</v>
      </c>
      <c r="D575" s="48" t="s">
        <v>594</v>
      </c>
      <c r="E575" s="52">
        <v>285</v>
      </c>
      <c r="F575" s="52"/>
      <c r="G575" s="52">
        <f t="shared" si="122"/>
        <v>0</v>
      </c>
      <c r="H575" s="52">
        <f t="shared" si="123"/>
        <v>0</v>
      </c>
      <c r="I575" s="52">
        <f t="shared" si="121"/>
        <v>0</v>
      </c>
      <c r="J575" s="52">
        <v>155</v>
      </c>
      <c r="K575" s="52">
        <f t="shared" si="124"/>
        <v>130</v>
      </c>
      <c r="L575" s="48">
        <f t="shared" si="125"/>
        <v>0</v>
      </c>
      <c r="M575" s="48"/>
    </row>
    <row r="576" spans="2:13" ht="27" customHeight="1">
      <c r="B576" s="30"/>
      <c r="C576" s="78" t="s">
        <v>372</v>
      </c>
      <c r="D576" s="48" t="s">
        <v>595</v>
      </c>
      <c r="E576" s="52">
        <v>269</v>
      </c>
      <c r="F576" s="52"/>
      <c r="G576" s="52">
        <f t="shared" si="122"/>
        <v>0</v>
      </c>
      <c r="H576" s="52">
        <f t="shared" si="123"/>
        <v>0</v>
      </c>
      <c r="I576" s="52">
        <f t="shared" si="121"/>
        <v>0</v>
      </c>
      <c r="J576" s="37">
        <v>0</v>
      </c>
      <c r="K576" s="52">
        <f t="shared" si="124"/>
        <v>269</v>
      </c>
      <c r="L576" s="48">
        <f t="shared" si="125"/>
        <v>0</v>
      </c>
      <c r="M576" s="48"/>
    </row>
    <row r="577" spans="2:13" ht="27" customHeight="1">
      <c r="B577" s="30"/>
      <c r="C577" s="78" t="s">
        <v>372</v>
      </c>
      <c r="D577" s="48" t="s">
        <v>596</v>
      </c>
      <c r="E577" s="52">
        <v>358</v>
      </c>
      <c r="F577" s="52"/>
      <c r="G577" s="52">
        <f t="shared" si="122"/>
        <v>0</v>
      </c>
      <c r="H577" s="52">
        <f t="shared" si="123"/>
        <v>0</v>
      </c>
      <c r="I577" s="52">
        <f t="shared" si="121"/>
        <v>0</v>
      </c>
      <c r="J577" s="37"/>
      <c r="K577" s="52">
        <f t="shared" si="124"/>
        <v>358</v>
      </c>
      <c r="L577" s="48">
        <f t="shared" si="125"/>
        <v>0</v>
      </c>
      <c r="M577" s="48"/>
    </row>
    <row r="578" spans="2:13" ht="27" customHeight="1">
      <c r="B578" s="30"/>
      <c r="C578" s="78" t="s">
        <v>372</v>
      </c>
      <c r="D578" s="48" t="s">
        <v>597</v>
      </c>
      <c r="E578" s="52">
        <v>276</v>
      </c>
      <c r="F578" s="52"/>
      <c r="G578" s="52">
        <f t="shared" si="122"/>
        <v>0</v>
      </c>
      <c r="H578" s="52">
        <f t="shared" si="123"/>
        <v>0</v>
      </c>
      <c r="I578" s="52">
        <f t="shared" si="121"/>
        <v>0</v>
      </c>
      <c r="J578" s="52">
        <v>151</v>
      </c>
      <c r="K578" s="52">
        <f t="shared" si="124"/>
        <v>125</v>
      </c>
      <c r="L578" s="48">
        <f t="shared" si="125"/>
        <v>0</v>
      </c>
      <c r="M578" s="48"/>
    </row>
    <row r="579" spans="2:13" ht="27" customHeight="1">
      <c r="B579" s="30"/>
      <c r="C579" s="78" t="s">
        <v>372</v>
      </c>
      <c r="D579" s="48" t="s">
        <v>598</v>
      </c>
      <c r="E579" s="52">
        <v>358</v>
      </c>
      <c r="F579" s="52"/>
      <c r="G579" s="52">
        <f t="shared" si="122"/>
        <v>0</v>
      </c>
      <c r="H579" s="52">
        <f t="shared" si="123"/>
        <v>0</v>
      </c>
      <c r="I579" s="52">
        <f t="shared" si="121"/>
        <v>0</v>
      </c>
      <c r="J579" s="52">
        <v>182</v>
      </c>
      <c r="K579" s="52">
        <f t="shared" si="124"/>
        <v>176</v>
      </c>
      <c r="L579" s="48"/>
      <c r="M579" s="48"/>
    </row>
    <row r="580" spans="2:13" ht="27" customHeight="1">
      <c r="B580" s="30"/>
      <c r="C580" s="10" t="s">
        <v>372</v>
      </c>
      <c r="D580" s="11" t="s">
        <v>599</v>
      </c>
      <c r="E580" s="12">
        <v>686</v>
      </c>
      <c r="F580" s="12"/>
      <c r="G580" s="12">
        <f t="shared" si="122"/>
        <v>0</v>
      </c>
      <c r="H580" s="12">
        <f t="shared" si="123"/>
        <v>0</v>
      </c>
      <c r="I580" s="12">
        <f t="shared" si="121"/>
        <v>0</v>
      </c>
      <c r="J580" s="12">
        <v>619</v>
      </c>
      <c r="K580" s="12">
        <f t="shared" si="124"/>
        <v>67</v>
      </c>
      <c r="L580" s="11">
        <f t="shared" ref="L580:L591" si="126">F580*K580</f>
        <v>0</v>
      </c>
      <c r="M580" s="11"/>
    </row>
    <row r="581" spans="2:13" ht="27" customHeight="1">
      <c r="B581" s="30"/>
      <c r="C581" s="78" t="s">
        <v>372</v>
      </c>
      <c r="D581" s="48" t="s">
        <v>600</v>
      </c>
      <c r="E581" s="52">
        <v>739</v>
      </c>
      <c r="F581" s="52"/>
      <c r="G581" s="52">
        <f t="shared" si="122"/>
        <v>0</v>
      </c>
      <c r="H581" s="52">
        <f t="shared" si="123"/>
        <v>0</v>
      </c>
      <c r="I581" s="52">
        <f t="shared" si="121"/>
        <v>0</v>
      </c>
      <c r="J581" s="52">
        <v>632</v>
      </c>
      <c r="K581" s="52">
        <f t="shared" si="124"/>
        <v>107</v>
      </c>
      <c r="L581" s="48">
        <f t="shared" si="126"/>
        <v>0</v>
      </c>
      <c r="M581" s="48"/>
    </row>
    <row r="582" spans="2:13" ht="27" customHeight="1">
      <c r="B582" s="30"/>
      <c r="C582" s="78" t="s">
        <v>372</v>
      </c>
      <c r="D582" s="48" t="s">
        <v>601</v>
      </c>
      <c r="E582" s="52">
        <v>739</v>
      </c>
      <c r="F582" s="52"/>
      <c r="G582" s="52">
        <f t="shared" si="122"/>
        <v>0</v>
      </c>
      <c r="H582" s="52">
        <f t="shared" si="123"/>
        <v>0</v>
      </c>
      <c r="I582" s="52">
        <f t="shared" si="121"/>
        <v>0</v>
      </c>
      <c r="J582" s="52">
        <v>574</v>
      </c>
      <c r="K582" s="52">
        <f t="shared" si="124"/>
        <v>165</v>
      </c>
      <c r="L582" s="48">
        <f t="shared" si="126"/>
        <v>0</v>
      </c>
      <c r="M582" s="48"/>
    </row>
    <row r="583" spans="2:13" ht="27" customHeight="1">
      <c r="B583" s="30"/>
      <c r="C583" s="10" t="s">
        <v>372</v>
      </c>
      <c r="D583" s="11" t="s">
        <v>602</v>
      </c>
      <c r="E583" s="12">
        <v>686</v>
      </c>
      <c r="F583" s="12"/>
      <c r="G583" s="12">
        <f t="shared" si="122"/>
        <v>0</v>
      </c>
      <c r="H583" s="12">
        <f t="shared" si="123"/>
        <v>0</v>
      </c>
      <c r="I583" s="12">
        <f t="shared" si="121"/>
        <v>0</v>
      </c>
      <c r="J583" s="37"/>
      <c r="K583" s="12">
        <f t="shared" si="124"/>
        <v>686</v>
      </c>
      <c r="L583" s="11">
        <f t="shared" si="126"/>
        <v>0</v>
      </c>
      <c r="M583" s="11"/>
    </row>
    <row r="584" spans="2:13" ht="27" customHeight="1">
      <c r="B584" s="30"/>
      <c r="C584" s="10" t="s">
        <v>372</v>
      </c>
      <c r="D584" s="11" t="s">
        <v>602</v>
      </c>
      <c r="E584" s="12">
        <v>616</v>
      </c>
      <c r="F584" s="12"/>
      <c r="G584" s="12">
        <f t="shared" si="122"/>
        <v>0</v>
      </c>
      <c r="H584" s="12">
        <f t="shared" si="123"/>
        <v>0</v>
      </c>
      <c r="I584" s="12">
        <f t="shared" si="121"/>
        <v>0</v>
      </c>
      <c r="J584" s="12">
        <v>545</v>
      </c>
      <c r="K584" s="12">
        <f t="shared" si="124"/>
        <v>71</v>
      </c>
      <c r="L584" s="11">
        <f t="shared" si="126"/>
        <v>0</v>
      </c>
      <c r="M584" s="11"/>
    </row>
    <row r="585" spans="2:13" ht="32.25" customHeight="1">
      <c r="B585" s="30"/>
      <c r="C585" s="10" t="s">
        <v>372</v>
      </c>
      <c r="D585" s="48" t="s">
        <v>603</v>
      </c>
      <c r="E585" s="52">
        <v>483</v>
      </c>
      <c r="F585" s="52"/>
      <c r="G585" s="52">
        <f t="shared" si="122"/>
        <v>0</v>
      </c>
      <c r="H585" s="52">
        <f t="shared" si="123"/>
        <v>0</v>
      </c>
      <c r="I585" s="52">
        <f t="shared" si="121"/>
        <v>0</v>
      </c>
      <c r="J585" s="52">
        <v>253</v>
      </c>
      <c r="K585" s="52">
        <f t="shared" si="124"/>
        <v>230</v>
      </c>
      <c r="L585" s="48">
        <f t="shared" si="126"/>
        <v>0</v>
      </c>
      <c r="M585" s="79" t="s">
        <v>604</v>
      </c>
    </row>
    <row r="586" spans="2:13" ht="27" customHeight="1">
      <c r="B586" s="30"/>
      <c r="C586" s="10" t="s">
        <v>372</v>
      </c>
      <c r="D586" s="48" t="s">
        <v>605</v>
      </c>
      <c r="E586" s="52">
        <v>739</v>
      </c>
      <c r="F586" s="52"/>
      <c r="G586" s="52">
        <f t="shared" si="122"/>
        <v>0</v>
      </c>
      <c r="H586" s="52">
        <f t="shared" si="123"/>
        <v>0</v>
      </c>
      <c r="I586" s="52">
        <f t="shared" si="121"/>
        <v>0</v>
      </c>
      <c r="J586" s="52">
        <v>641</v>
      </c>
      <c r="K586" s="52">
        <f t="shared" si="124"/>
        <v>98</v>
      </c>
      <c r="L586" s="48">
        <f t="shared" si="126"/>
        <v>0</v>
      </c>
      <c r="M586" s="48"/>
    </row>
    <row r="587" spans="2:13" ht="27" customHeight="1">
      <c r="B587" s="30"/>
      <c r="C587" s="10" t="s">
        <v>372</v>
      </c>
      <c r="D587" s="11" t="s">
        <v>606</v>
      </c>
      <c r="E587" s="12">
        <v>686</v>
      </c>
      <c r="F587" s="12"/>
      <c r="G587" s="12">
        <f t="shared" si="122"/>
        <v>0</v>
      </c>
      <c r="H587" s="12">
        <f t="shared" si="123"/>
        <v>0</v>
      </c>
      <c r="I587" s="12">
        <f t="shared" si="121"/>
        <v>0</v>
      </c>
      <c r="J587" s="12">
        <v>619</v>
      </c>
      <c r="K587" s="12">
        <f t="shared" si="124"/>
        <v>67</v>
      </c>
      <c r="L587" s="11">
        <f t="shared" si="126"/>
        <v>0</v>
      </c>
      <c r="M587" s="11"/>
    </row>
    <row r="588" spans="2:13" ht="27" customHeight="1">
      <c r="B588" s="30"/>
      <c r="C588" s="10" t="s">
        <v>372</v>
      </c>
      <c r="D588" s="48" t="s">
        <v>607</v>
      </c>
      <c r="E588" s="52">
        <v>739</v>
      </c>
      <c r="F588" s="52"/>
      <c r="G588" s="52">
        <f t="shared" si="122"/>
        <v>0</v>
      </c>
      <c r="H588" s="52">
        <f t="shared" si="123"/>
        <v>0</v>
      </c>
      <c r="I588" s="52">
        <f t="shared" si="121"/>
        <v>0</v>
      </c>
      <c r="J588" s="52">
        <v>600</v>
      </c>
      <c r="K588" s="52">
        <f t="shared" si="124"/>
        <v>139</v>
      </c>
      <c r="L588" s="48">
        <f t="shared" si="126"/>
        <v>0</v>
      </c>
      <c r="M588" s="48"/>
    </row>
    <row r="589" spans="2:13" ht="27" customHeight="1">
      <c r="B589" s="30"/>
      <c r="C589" s="10" t="s">
        <v>372</v>
      </c>
      <c r="D589" s="11" t="s">
        <v>608</v>
      </c>
      <c r="E589" s="12">
        <v>686</v>
      </c>
      <c r="F589" s="12"/>
      <c r="G589" s="12">
        <f t="shared" si="122"/>
        <v>0</v>
      </c>
      <c r="H589" s="12">
        <f t="shared" si="123"/>
        <v>0</v>
      </c>
      <c r="I589" s="12">
        <f t="shared" si="121"/>
        <v>0</v>
      </c>
      <c r="J589" s="12">
        <v>619</v>
      </c>
      <c r="K589" s="12">
        <f t="shared" si="124"/>
        <v>67</v>
      </c>
      <c r="L589" s="11">
        <f t="shared" si="126"/>
        <v>0</v>
      </c>
      <c r="M589" s="11"/>
    </row>
    <row r="590" spans="2:13" ht="27" customHeight="1">
      <c r="B590" s="30"/>
      <c r="C590" s="78" t="s">
        <v>372</v>
      </c>
      <c r="D590" s="48" t="s">
        <v>609</v>
      </c>
      <c r="E590" s="52">
        <v>739</v>
      </c>
      <c r="F590" s="52"/>
      <c r="G590" s="52">
        <f t="shared" si="122"/>
        <v>0</v>
      </c>
      <c r="H590" s="52">
        <f t="shared" si="123"/>
        <v>0</v>
      </c>
      <c r="I590" s="52">
        <f t="shared" si="121"/>
        <v>0</v>
      </c>
      <c r="J590" s="52">
        <v>632</v>
      </c>
      <c r="K590" s="52">
        <f t="shared" si="124"/>
        <v>107</v>
      </c>
      <c r="L590" s="48">
        <f t="shared" si="126"/>
        <v>0</v>
      </c>
      <c r="M590" s="48"/>
    </row>
    <row r="591" spans="2:13" ht="27" customHeight="1">
      <c r="B591" s="30"/>
      <c r="C591" s="10" t="s">
        <v>372</v>
      </c>
      <c r="D591" s="11" t="s">
        <v>610</v>
      </c>
      <c r="E591" s="12">
        <v>616</v>
      </c>
      <c r="F591" s="12"/>
      <c r="G591" s="12">
        <f t="shared" si="122"/>
        <v>0</v>
      </c>
      <c r="H591" s="12">
        <f t="shared" si="123"/>
        <v>0</v>
      </c>
      <c r="I591" s="12">
        <f t="shared" si="121"/>
        <v>0</v>
      </c>
      <c r="J591" s="12">
        <v>574</v>
      </c>
      <c r="K591" s="12">
        <f t="shared" si="124"/>
        <v>42</v>
      </c>
      <c r="L591" s="11">
        <f t="shared" si="126"/>
        <v>0</v>
      </c>
      <c r="M591" s="11"/>
    </row>
    <row r="592" spans="2:13" ht="27" customHeight="1">
      <c r="B592" s="30"/>
      <c r="C592" s="10" t="s">
        <v>372</v>
      </c>
      <c r="D592" s="14" t="s">
        <v>611</v>
      </c>
      <c r="E592" s="12">
        <v>611</v>
      </c>
      <c r="F592" s="12"/>
      <c r="G592" s="12">
        <f t="shared" si="122"/>
        <v>0</v>
      </c>
      <c r="H592" s="12">
        <f t="shared" si="123"/>
        <v>0</v>
      </c>
      <c r="I592" s="12">
        <f t="shared" si="121"/>
        <v>0</v>
      </c>
      <c r="J592" s="12">
        <v>574</v>
      </c>
      <c r="K592" s="12">
        <f t="shared" si="124"/>
        <v>37</v>
      </c>
      <c r="L592" s="11"/>
      <c r="M592" s="11"/>
    </row>
    <row r="593" spans="2:13" ht="27" customHeight="1">
      <c r="B593" s="30"/>
      <c r="C593" s="10" t="s">
        <v>372</v>
      </c>
      <c r="D593" s="11" t="s">
        <v>612</v>
      </c>
      <c r="E593" s="12">
        <v>611</v>
      </c>
      <c r="F593" s="12"/>
      <c r="G593" s="12">
        <f t="shared" si="122"/>
        <v>0</v>
      </c>
      <c r="H593" s="12">
        <f t="shared" si="123"/>
        <v>0</v>
      </c>
      <c r="I593" s="12">
        <f t="shared" si="121"/>
        <v>0</v>
      </c>
      <c r="J593" s="12">
        <v>574</v>
      </c>
      <c r="K593" s="12">
        <f t="shared" si="124"/>
        <v>37</v>
      </c>
      <c r="L593" s="11"/>
      <c r="M593" s="11"/>
    </row>
    <row r="594" spans="2:13" ht="27" customHeight="1">
      <c r="B594" s="30"/>
      <c r="C594" s="10" t="s">
        <v>99</v>
      </c>
      <c r="D594" s="11" t="s">
        <v>613</v>
      </c>
      <c r="E594" s="12">
        <v>12088221</v>
      </c>
      <c r="F594" s="12"/>
      <c r="G594" s="12">
        <f t="shared" si="122"/>
        <v>0</v>
      </c>
      <c r="H594" s="12"/>
      <c r="I594" s="12">
        <f t="shared" si="121"/>
        <v>0</v>
      </c>
      <c r="J594" s="12"/>
      <c r="K594" s="12">
        <f t="shared" si="124"/>
        <v>12088221</v>
      </c>
      <c r="L594" s="11">
        <f>F594*K594</f>
        <v>0</v>
      </c>
      <c r="M594" s="11" t="s">
        <v>591</v>
      </c>
    </row>
    <row r="595" spans="2:13" ht="27" customHeight="1">
      <c r="B595" s="30"/>
      <c r="C595" s="10" t="s">
        <v>99</v>
      </c>
      <c r="D595" s="11" t="s">
        <v>614</v>
      </c>
      <c r="E595" s="12">
        <v>2310000</v>
      </c>
      <c r="F595" s="12"/>
      <c r="G595" s="12">
        <f t="shared" si="122"/>
        <v>0</v>
      </c>
      <c r="H595" s="12">
        <f>G595/10</f>
        <v>0</v>
      </c>
      <c r="I595" s="12">
        <f t="shared" si="121"/>
        <v>0</v>
      </c>
      <c r="J595" s="12">
        <v>2246400</v>
      </c>
      <c r="K595" s="12">
        <f t="shared" si="124"/>
        <v>63600</v>
      </c>
      <c r="L595" s="11">
        <f>F595*K595</f>
        <v>0</v>
      </c>
      <c r="M595" s="11" t="s">
        <v>615</v>
      </c>
    </row>
    <row r="596" spans="2:13" ht="27" customHeight="1">
      <c r="B596" s="38"/>
      <c r="C596" s="18"/>
      <c r="D596" s="19" t="s">
        <v>405</v>
      </c>
      <c r="E596" s="20"/>
      <c r="F596" s="20"/>
      <c r="G596" s="20">
        <f>SUM(G572:G595)</f>
        <v>0</v>
      </c>
      <c r="H596" s="20">
        <f>SUM(H572:H595)</f>
        <v>0</v>
      </c>
      <c r="I596" s="20">
        <f t="shared" si="121"/>
        <v>0</v>
      </c>
      <c r="J596" s="20">
        <f>H596+I596</f>
        <v>0</v>
      </c>
      <c r="K596" s="20">
        <f>I596+J596</f>
        <v>0</v>
      </c>
      <c r="L596" s="20">
        <f>SUM(L572:L595)</f>
        <v>0</v>
      </c>
      <c r="M596" s="19"/>
    </row>
    <row r="597" spans="2:13" ht="27" customHeight="1">
      <c r="B597" s="9" t="s">
        <v>616</v>
      </c>
      <c r="C597" s="10" t="s">
        <v>17</v>
      </c>
      <c r="D597" s="11" t="s">
        <v>617</v>
      </c>
      <c r="E597" s="12">
        <v>7000</v>
      </c>
      <c r="F597" s="12"/>
      <c r="G597" s="12">
        <f>E597*F597</f>
        <v>0</v>
      </c>
      <c r="H597" s="12">
        <f>G597/10</f>
        <v>0</v>
      </c>
      <c r="I597" s="12">
        <f t="shared" si="121"/>
        <v>0</v>
      </c>
      <c r="J597" s="12">
        <v>5800</v>
      </c>
      <c r="K597" s="12">
        <f>E597-J597</f>
        <v>1200</v>
      </c>
      <c r="L597" s="11">
        <f>F597*K597</f>
        <v>0</v>
      </c>
      <c r="M597" s="11"/>
    </row>
    <row r="598" spans="2:13" ht="27" customHeight="1">
      <c r="B598" s="13"/>
      <c r="C598" s="10"/>
      <c r="D598" s="11"/>
      <c r="E598" s="12"/>
      <c r="F598" s="12"/>
      <c r="G598" s="12">
        <f>E598*F598</f>
        <v>0</v>
      </c>
      <c r="H598" s="12">
        <f>G598/10</f>
        <v>0</v>
      </c>
      <c r="I598" s="12">
        <f t="shared" si="121"/>
        <v>0</v>
      </c>
      <c r="J598" s="12"/>
      <c r="K598" s="12">
        <f>E598-J598</f>
        <v>0</v>
      </c>
      <c r="L598" s="11">
        <f>F598*K598</f>
        <v>0</v>
      </c>
      <c r="M598" s="11"/>
    </row>
    <row r="599" spans="2:13" ht="27" customHeight="1">
      <c r="B599" s="17"/>
      <c r="C599" s="18"/>
      <c r="D599" s="19" t="s">
        <v>405</v>
      </c>
      <c r="E599" s="20"/>
      <c r="F599" s="20"/>
      <c r="G599" s="20">
        <f>SUM(G597:G598)</f>
        <v>0</v>
      </c>
      <c r="H599" s="20">
        <f>SUM(H597:H598)</f>
        <v>0</v>
      </c>
      <c r="I599" s="20">
        <f t="shared" si="121"/>
        <v>0</v>
      </c>
      <c r="J599" s="20"/>
      <c r="K599" s="20"/>
      <c r="L599" s="20">
        <f>SUM(L597:L598)</f>
        <v>0</v>
      </c>
      <c r="M599" s="19"/>
    </row>
    <row r="600" spans="2:13" ht="27" customHeight="1">
      <c r="B600" s="9" t="s">
        <v>618</v>
      </c>
      <c r="C600" s="10" t="s">
        <v>23</v>
      </c>
      <c r="D600" s="11" t="s">
        <v>619</v>
      </c>
      <c r="E600" s="12">
        <v>500</v>
      </c>
      <c r="F600" s="12"/>
      <c r="G600" s="12">
        <f>E600*F600</f>
        <v>0</v>
      </c>
      <c r="H600" s="12">
        <f>G600/10</f>
        <v>0</v>
      </c>
      <c r="I600" s="12">
        <f t="shared" si="121"/>
        <v>0</v>
      </c>
      <c r="J600" s="12"/>
      <c r="K600" s="12">
        <f>E600-J600</f>
        <v>500</v>
      </c>
      <c r="L600" s="11">
        <f>F600*K600</f>
        <v>0</v>
      </c>
      <c r="M600" s="11" t="s">
        <v>620</v>
      </c>
    </row>
    <row r="601" spans="2:13" ht="27" customHeight="1">
      <c r="B601" s="13"/>
      <c r="C601" s="10"/>
      <c r="D601" s="11"/>
      <c r="E601" s="12"/>
      <c r="F601" s="12"/>
      <c r="G601" s="12">
        <f>E601*F601</f>
        <v>0</v>
      </c>
      <c r="H601" s="12">
        <f>G601/10</f>
        <v>0</v>
      </c>
      <c r="I601" s="12">
        <f t="shared" si="121"/>
        <v>0</v>
      </c>
      <c r="J601" s="12"/>
      <c r="K601" s="12">
        <f>E601-J601</f>
        <v>0</v>
      </c>
      <c r="L601" s="11">
        <f>F601*K601</f>
        <v>0</v>
      </c>
      <c r="M601" s="11"/>
    </row>
    <row r="602" spans="2:13" ht="27" customHeight="1">
      <c r="B602" s="17"/>
      <c r="C602" s="18"/>
      <c r="D602" s="19" t="s">
        <v>405</v>
      </c>
      <c r="E602" s="20"/>
      <c r="F602" s="20"/>
      <c r="G602" s="20">
        <f>SUM(G600:G601)</f>
        <v>0</v>
      </c>
      <c r="H602" s="20">
        <f>SUM(H600:H601)</f>
        <v>0</v>
      </c>
      <c r="I602" s="20">
        <f t="shared" si="121"/>
        <v>0</v>
      </c>
      <c r="J602" s="20"/>
      <c r="K602" s="20"/>
      <c r="L602" s="20">
        <f>SUM(L600:L601)</f>
        <v>0</v>
      </c>
      <c r="M602" s="19"/>
    </row>
    <row r="603" spans="2:13" ht="27" customHeight="1">
      <c r="B603" s="27" t="s">
        <v>621</v>
      </c>
      <c r="C603" s="10" t="s">
        <v>17</v>
      </c>
      <c r="D603" s="11" t="s">
        <v>622</v>
      </c>
      <c r="E603" s="12">
        <v>8700</v>
      </c>
      <c r="F603" s="12"/>
      <c r="G603" s="12">
        <f t="shared" ref="G603:G616" si="127">E603*F603</f>
        <v>0</v>
      </c>
      <c r="H603" s="12">
        <f t="shared" ref="H603:H616" si="128">G603/10</f>
        <v>0</v>
      </c>
      <c r="I603" s="12">
        <f t="shared" si="121"/>
        <v>0</v>
      </c>
      <c r="J603" s="12">
        <v>6802</v>
      </c>
      <c r="K603" s="12">
        <f t="shared" ref="K603:K611" si="129">E603-J603</f>
        <v>1898</v>
      </c>
      <c r="L603" s="11">
        <f t="shared" ref="L603:L616" si="130">F603*K603</f>
        <v>0</v>
      </c>
      <c r="M603" s="11" t="s">
        <v>623</v>
      </c>
    </row>
    <row r="604" spans="2:13" ht="27" customHeight="1">
      <c r="B604" s="30"/>
      <c r="C604" s="10" t="s">
        <v>17</v>
      </c>
      <c r="D604" s="11" t="s">
        <v>624</v>
      </c>
      <c r="E604" s="12">
        <v>8700</v>
      </c>
      <c r="F604" s="12"/>
      <c r="G604" s="12">
        <f t="shared" si="127"/>
        <v>0</v>
      </c>
      <c r="H604" s="12">
        <f t="shared" si="128"/>
        <v>0</v>
      </c>
      <c r="I604" s="12">
        <f t="shared" si="121"/>
        <v>0</v>
      </c>
      <c r="J604" s="12">
        <v>6802</v>
      </c>
      <c r="K604" s="12">
        <f t="shared" si="129"/>
        <v>1898</v>
      </c>
      <c r="L604" s="11">
        <f t="shared" si="130"/>
        <v>0</v>
      </c>
      <c r="M604" s="11"/>
    </row>
    <row r="605" spans="2:13" ht="27" customHeight="1">
      <c r="B605" s="30"/>
      <c r="C605" s="10" t="s">
        <v>17</v>
      </c>
      <c r="D605" s="35" t="s">
        <v>622</v>
      </c>
      <c r="E605" s="80">
        <v>8700</v>
      </c>
      <c r="F605" s="80"/>
      <c r="G605" s="80">
        <f t="shared" si="127"/>
        <v>0</v>
      </c>
      <c r="H605" s="80">
        <f t="shared" si="128"/>
        <v>0</v>
      </c>
      <c r="I605" s="80">
        <f t="shared" si="121"/>
        <v>0</v>
      </c>
      <c r="J605" s="80">
        <v>6802</v>
      </c>
      <c r="K605" s="80">
        <f t="shared" si="129"/>
        <v>1898</v>
      </c>
      <c r="L605" s="11">
        <f t="shared" si="130"/>
        <v>0</v>
      </c>
      <c r="M605" s="35"/>
    </row>
    <row r="606" spans="2:13" ht="27" customHeight="1">
      <c r="B606" s="30"/>
      <c r="C606" s="10" t="s">
        <v>17</v>
      </c>
      <c r="D606" s="35" t="s">
        <v>625</v>
      </c>
      <c r="E606" s="80">
        <v>8700</v>
      </c>
      <c r="F606" s="80"/>
      <c r="G606" s="80">
        <f t="shared" si="127"/>
        <v>0</v>
      </c>
      <c r="H606" s="80">
        <f t="shared" si="128"/>
        <v>0</v>
      </c>
      <c r="I606" s="80">
        <f t="shared" si="121"/>
        <v>0</v>
      </c>
      <c r="J606" s="80">
        <v>6802</v>
      </c>
      <c r="K606" s="80">
        <f t="shared" si="129"/>
        <v>1898</v>
      </c>
      <c r="L606" s="72">
        <f t="shared" si="130"/>
        <v>0</v>
      </c>
      <c r="M606" s="35" t="s">
        <v>626</v>
      </c>
    </row>
    <row r="607" spans="2:13" ht="27" customHeight="1">
      <c r="B607" s="30"/>
      <c r="C607" s="10" t="s">
        <v>17</v>
      </c>
      <c r="D607" s="11" t="s">
        <v>625</v>
      </c>
      <c r="E607" s="12">
        <v>8700</v>
      </c>
      <c r="F607" s="12"/>
      <c r="G607" s="12">
        <f t="shared" si="127"/>
        <v>0</v>
      </c>
      <c r="H607" s="12">
        <f t="shared" si="128"/>
        <v>0</v>
      </c>
      <c r="I607" s="12">
        <f t="shared" si="121"/>
        <v>0</v>
      </c>
      <c r="J607" s="12">
        <v>6802</v>
      </c>
      <c r="K607" s="12">
        <f t="shared" si="129"/>
        <v>1898</v>
      </c>
      <c r="L607" s="11">
        <f t="shared" si="130"/>
        <v>0</v>
      </c>
      <c r="M607" s="11"/>
    </row>
    <row r="608" spans="2:13" ht="27" customHeight="1">
      <c r="B608" s="30"/>
      <c r="C608" s="10" t="s">
        <v>14</v>
      </c>
      <c r="D608" s="11" t="s">
        <v>627</v>
      </c>
      <c r="E608" s="12">
        <v>9800</v>
      </c>
      <c r="F608" s="12"/>
      <c r="G608" s="12">
        <f t="shared" si="127"/>
        <v>0</v>
      </c>
      <c r="H608" s="12">
        <f t="shared" si="128"/>
        <v>0</v>
      </c>
      <c r="I608" s="12">
        <f t="shared" si="121"/>
        <v>0</v>
      </c>
      <c r="J608" s="12">
        <v>7333</v>
      </c>
      <c r="K608" s="12">
        <f t="shared" si="129"/>
        <v>2467</v>
      </c>
      <c r="L608" s="11">
        <f t="shared" si="130"/>
        <v>0</v>
      </c>
      <c r="M608" s="11" t="s">
        <v>623</v>
      </c>
    </row>
    <row r="609" spans="2:13" ht="27" customHeight="1">
      <c r="B609" s="30"/>
      <c r="C609" s="10" t="s">
        <v>23</v>
      </c>
      <c r="D609" s="11" t="s">
        <v>628</v>
      </c>
      <c r="E609" s="12">
        <v>680</v>
      </c>
      <c r="F609" s="12"/>
      <c r="G609" s="12">
        <f t="shared" si="127"/>
        <v>0</v>
      </c>
      <c r="H609" s="12">
        <f t="shared" si="128"/>
        <v>0</v>
      </c>
      <c r="I609" s="12">
        <f t="shared" si="121"/>
        <v>0</v>
      </c>
      <c r="J609" s="12">
        <v>545</v>
      </c>
      <c r="K609" s="12">
        <f t="shared" si="129"/>
        <v>135</v>
      </c>
      <c r="L609" s="11">
        <f t="shared" si="130"/>
        <v>0</v>
      </c>
      <c r="M609" s="11"/>
    </row>
    <row r="610" spans="2:13" ht="27" customHeight="1">
      <c r="B610" s="30"/>
      <c r="C610" s="10" t="s">
        <v>23</v>
      </c>
      <c r="D610" s="11" t="s">
        <v>629</v>
      </c>
      <c r="E610" s="12">
        <v>680</v>
      </c>
      <c r="F610" s="12"/>
      <c r="G610" s="12">
        <f t="shared" si="127"/>
        <v>0</v>
      </c>
      <c r="H610" s="12">
        <f t="shared" si="128"/>
        <v>0</v>
      </c>
      <c r="I610" s="12">
        <f t="shared" si="121"/>
        <v>0</v>
      </c>
      <c r="J610" s="12">
        <v>565</v>
      </c>
      <c r="K610" s="12">
        <f t="shared" si="129"/>
        <v>115</v>
      </c>
      <c r="L610" s="11">
        <f t="shared" si="130"/>
        <v>0</v>
      </c>
      <c r="M610" s="11" t="s">
        <v>630</v>
      </c>
    </row>
    <row r="611" spans="2:13" ht="27" customHeight="1">
      <c r="B611" s="30"/>
      <c r="C611" s="10" t="s">
        <v>23</v>
      </c>
      <c r="D611" s="11" t="s">
        <v>97</v>
      </c>
      <c r="E611" s="12">
        <v>400</v>
      </c>
      <c r="F611" s="12"/>
      <c r="G611" s="12">
        <f t="shared" si="127"/>
        <v>0</v>
      </c>
      <c r="H611" s="12">
        <f t="shared" si="128"/>
        <v>0</v>
      </c>
      <c r="I611" s="12">
        <f t="shared" si="121"/>
        <v>0</v>
      </c>
      <c r="J611" s="12">
        <v>320</v>
      </c>
      <c r="K611" s="12">
        <f t="shared" si="129"/>
        <v>80</v>
      </c>
      <c r="L611" s="11">
        <f t="shared" si="130"/>
        <v>0</v>
      </c>
      <c r="M611" s="11" t="s">
        <v>631</v>
      </c>
    </row>
    <row r="612" spans="2:13" ht="27" customHeight="1">
      <c r="B612" s="30"/>
      <c r="C612" s="10" t="s">
        <v>23</v>
      </c>
      <c r="D612" s="11" t="s">
        <v>246</v>
      </c>
      <c r="E612" s="12">
        <v>350</v>
      </c>
      <c r="F612" s="12"/>
      <c r="G612" s="12">
        <f t="shared" si="127"/>
        <v>0</v>
      </c>
      <c r="H612" s="12">
        <f t="shared" si="128"/>
        <v>0</v>
      </c>
      <c r="I612" s="12">
        <f t="shared" si="121"/>
        <v>0</v>
      </c>
      <c r="J612" s="12">
        <v>280</v>
      </c>
      <c r="K612" s="12">
        <v>70</v>
      </c>
      <c r="L612" s="11">
        <f t="shared" si="130"/>
        <v>0</v>
      </c>
      <c r="M612" s="11" t="s">
        <v>632</v>
      </c>
    </row>
    <row r="613" spans="2:13" ht="27" customHeight="1">
      <c r="B613" s="30"/>
      <c r="C613" s="10" t="s">
        <v>20</v>
      </c>
      <c r="D613" s="11" t="s">
        <v>54</v>
      </c>
      <c r="E613" s="12">
        <v>1300</v>
      </c>
      <c r="F613" s="12"/>
      <c r="G613" s="23">
        <f t="shared" si="127"/>
        <v>0</v>
      </c>
      <c r="H613" s="12">
        <f t="shared" si="128"/>
        <v>0</v>
      </c>
      <c r="I613" s="12">
        <f t="shared" si="121"/>
        <v>0</v>
      </c>
      <c r="J613" s="12">
        <v>945</v>
      </c>
      <c r="K613" s="12">
        <f>E613-J613</f>
        <v>355</v>
      </c>
      <c r="L613" s="12">
        <f t="shared" si="130"/>
        <v>0</v>
      </c>
      <c r="M613" s="11"/>
    </row>
    <row r="614" spans="2:13" ht="27" customHeight="1">
      <c r="B614" s="30"/>
      <c r="C614" s="10" t="s">
        <v>45</v>
      </c>
      <c r="D614" s="11" t="s">
        <v>633</v>
      </c>
      <c r="E614" s="12">
        <v>160</v>
      </c>
      <c r="F614" s="12"/>
      <c r="G614" s="12">
        <f t="shared" si="127"/>
        <v>0</v>
      </c>
      <c r="H614" s="12">
        <f t="shared" si="128"/>
        <v>0</v>
      </c>
      <c r="I614" s="12">
        <f t="shared" si="121"/>
        <v>0</v>
      </c>
      <c r="J614" s="12">
        <v>130</v>
      </c>
      <c r="K614" s="12">
        <f>E614-J614</f>
        <v>30</v>
      </c>
      <c r="L614" s="11">
        <f t="shared" si="130"/>
        <v>0</v>
      </c>
      <c r="M614" s="11"/>
    </row>
    <row r="615" spans="2:13" ht="27" customHeight="1">
      <c r="B615" s="30"/>
      <c r="C615" s="10" t="s">
        <v>45</v>
      </c>
      <c r="D615" s="11" t="s">
        <v>634</v>
      </c>
      <c r="E615" s="12">
        <v>180</v>
      </c>
      <c r="F615" s="12"/>
      <c r="G615" s="12">
        <f t="shared" si="127"/>
        <v>0</v>
      </c>
      <c r="H615" s="12">
        <f t="shared" si="128"/>
        <v>0</v>
      </c>
      <c r="I615" s="12">
        <f t="shared" si="121"/>
        <v>0</v>
      </c>
      <c r="J615" s="12">
        <v>135</v>
      </c>
      <c r="K615" s="12">
        <f>E615-J615</f>
        <v>45</v>
      </c>
      <c r="L615" s="11">
        <f t="shared" si="130"/>
        <v>0</v>
      </c>
      <c r="M615" s="11"/>
    </row>
    <row r="616" spans="2:13" ht="27" customHeight="1">
      <c r="B616" s="30"/>
      <c r="C616" s="10" t="s">
        <v>99</v>
      </c>
      <c r="D616" s="11" t="s">
        <v>151</v>
      </c>
      <c r="E616" s="12">
        <v>40000</v>
      </c>
      <c r="F616" s="12"/>
      <c r="G616" s="12">
        <f t="shared" si="127"/>
        <v>0</v>
      </c>
      <c r="H616" s="12">
        <f t="shared" si="128"/>
        <v>0</v>
      </c>
      <c r="I616" s="12">
        <f t="shared" si="121"/>
        <v>0</v>
      </c>
      <c r="J616" s="12">
        <v>40000</v>
      </c>
      <c r="K616" s="12">
        <f>E616-J616</f>
        <v>0</v>
      </c>
      <c r="L616" s="11">
        <f t="shared" si="130"/>
        <v>0</v>
      </c>
      <c r="M616" s="11"/>
    </row>
    <row r="617" spans="2:13" ht="27" customHeight="1">
      <c r="B617" s="38"/>
      <c r="C617" s="18"/>
      <c r="D617" s="19" t="s">
        <v>405</v>
      </c>
      <c r="E617" s="20"/>
      <c r="F617" s="20"/>
      <c r="G617" s="20">
        <f>SUM(G603:G616)</f>
        <v>0</v>
      </c>
      <c r="H617" s="20">
        <f>SUM(H603:H616)</f>
        <v>0</v>
      </c>
      <c r="I617" s="20">
        <f t="shared" si="121"/>
        <v>0</v>
      </c>
      <c r="J617" s="20"/>
      <c r="K617" s="20"/>
      <c r="L617" s="20">
        <f>SUM(L603:L616)</f>
        <v>0</v>
      </c>
      <c r="M617" s="81" t="e">
        <f>L617/G617</f>
        <v>#DIV/0!</v>
      </c>
    </row>
    <row r="618" spans="2:13" ht="27" customHeight="1">
      <c r="B618" s="9" t="s">
        <v>635</v>
      </c>
      <c r="C618" s="10" t="s">
        <v>17</v>
      </c>
      <c r="D618" s="11" t="s">
        <v>625</v>
      </c>
      <c r="E618" s="12">
        <v>8700</v>
      </c>
      <c r="F618" s="12"/>
      <c r="G618" s="12">
        <f t="shared" ref="G618" si="131">E618*F618</f>
        <v>0</v>
      </c>
      <c r="H618" s="12">
        <f t="shared" ref="H618" si="132">G618/10</f>
        <v>0</v>
      </c>
      <c r="I618" s="12">
        <f t="shared" si="121"/>
        <v>0</v>
      </c>
      <c r="J618" s="12">
        <v>6802</v>
      </c>
      <c r="K618" s="12">
        <f t="shared" ref="K618" si="133">E618-J618</f>
        <v>1898</v>
      </c>
      <c r="L618" s="49">
        <f t="shared" ref="L618" si="134">F618*K618</f>
        <v>0</v>
      </c>
      <c r="M618" s="11" t="s">
        <v>626</v>
      </c>
    </row>
    <row r="619" spans="2:13" ht="27" customHeight="1">
      <c r="B619" s="13"/>
      <c r="C619" s="10"/>
      <c r="D619" s="11"/>
      <c r="E619" s="12"/>
      <c r="F619" s="12"/>
      <c r="G619" s="12">
        <f>E619*F619</f>
        <v>0</v>
      </c>
      <c r="H619" s="12">
        <f>G619/10</f>
        <v>0</v>
      </c>
      <c r="I619" s="12">
        <f t="shared" si="121"/>
        <v>0</v>
      </c>
      <c r="J619" s="12"/>
      <c r="K619" s="12">
        <f>E619-J619</f>
        <v>0</v>
      </c>
      <c r="L619" s="11">
        <f>F619*K619</f>
        <v>0</v>
      </c>
      <c r="M619" s="11"/>
    </row>
    <row r="620" spans="2:13" ht="27" customHeight="1">
      <c r="B620" s="17"/>
      <c r="C620" s="18"/>
      <c r="D620" s="19" t="s">
        <v>405</v>
      </c>
      <c r="E620" s="20"/>
      <c r="F620" s="20"/>
      <c r="G620" s="20">
        <f>SUM(G618:G619)</f>
        <v>0</v>
      </c>
      <c r="H620" s="20">
        <f>SUM(H618:H619)</f>
        <v>0</v>
      </c>
      <c r="I620" s="20">
        <f t="shared" si="121"/>
        <v>0</v>
      </c>
      <c r="J620" s="20"/>
      <c r="K620" s="20"/>
      <c r="L620" s="20">
        <f>SUM(L618:L619)</f>
        <v>0</v>
      </c>
      <c r="M620" s="19"/>
    </row>
    <row r="621" spans="2:13" ht="27" customHeight="1">
      <c r="B621" s="9" t="s">
        <v>636</v>
      </c>
      <c r="C621" s="10" t="s">
        <v>23</v>
      </c>
      <c r="D621" s="11" t="s">
        <v>637</v>
      </c>
      <c r="E621" s="12">
        <v>350</v>
      </c>
      <c r="F621" s="12"/>
      <c r="G621" s="12">
        <f>E621*F621</f>
        <v>0</v>
      </c>
      <c r="H621" s="12">
        <f>G621/10</f>
        <v>0</v>
      </c>
      <c r="I621" s="12">
        <f t="shared" si="121"/>
        <v>0</v>
      </c>
      <c r="J621" s="12">
        <v>280</v>
      </c>
      <c r="K621" s="12">
        <f>E621-J621</f>
        <v>70</v>
      </c>
      <c r="L621" s="11">
        <f>F621*K621</f>
        <v>0</v>
      </c>
      <c r="M621" s="11"/>
    </row>
    <row r="622" spans="2:13" ht="27" customHeight="1">
      <c r="B622" s="13"/>
      <c r="C622" s="10"/>
      <c r="D622" s="11"/>
      <c r="E622" s="12"/>
      <c r="F622" s="12"/>
      <c r="G622" s="12">
        <f>E622*F622</f>
        <v>0</v>
      </c>
      <c r="H622" s="12">
        <f>G622/10</f>
        <v>0</v>
      </c>
      <c r="I622" s="12">
        <f t="shared" si="121"/>
        <v>0</v>
      </c>
      <c r="J622" s="12"/>
      <c r="K622" s="12">
        <f>E622-J622</f>
        <v>0</v>
      </c>
      <c r="L622" s="11">
        <f>F622*K622</f>
        <v>0</v>
      </c>
      <c r="M622" s="11"/>
    </row>
    <row r="623" spans="2:13" ht="27" customHeight="1">
      <c r="B623" s="17"/>
      <c r="C623" s="18"/>
      <c r="D623" s="19" t="s">
        <v>405</v>
      </c>
      <c r="E623" s="20"/>
      <c r="F623" s="20"/>
      <c r="G623" s="20">
        <f>SUM(G621:G622)</f>
        <v>0</v>
      </c>
      <c r="H623" s="20">
        <f>SUM(H621:H622)</f>
        <v>0</v>
      </c>
      <c r="I623" s="20">
        <f t="shared" si="121"/>
        <v>0</v>
      </c>
      <c r="J623" s="20"/>
      <c r="K623" s="20"/>
      <c r="L623" s="20">
        <f>SUM(L621:L622)</f>
        <v>0</v>
      </c>
      <c r="M623" s="19"/>
    </row>
    <row r="624" spans="2:13" ht="27" customHeight="1">
      <c r="B624" s="9" t="s">
        <v>638</v>
      </c>
      <c r="C624" s="10" t="s">
        <v>45</v>
      </c>
      <c r="D624" s="11" t="s">
        <v>639</v>
      </c>
      <c r="E624" s="12">
        <v>85</v>
      </c>
      <c r="F624" s="12"/>
      <c r="G624" s="12">
        <f>E624*F624</f>
        <v>0</v>
      </c>
      <c r="H624" s="12">
        <f>G624/10</f>
        <v>0</v>
      </c>
      <c r="I624" s="12">
        <f t="shared" ref="I624:I645" si="135">G624+H624</f>
        <v>0</v>
      </c>
      <c r="J624" s="12">
        <v>50</v>
      </c>
      <c r="K624" s="12">
        <f>E624-J624</f>
        <v>35</v>
      </c>
      <c r="L624" s="11">
        <f>F624*K624</f>
        <v>0</v>
      </c>
      <c r="M624" s="11"/>
    </row>
    <row r="625" spans="2:13" ht="27" customHeight="1">
      <c r="B625" s="13"/>
      <c r="C625" s="10"/>
      <c r="D625" s="11"/>
      <c r="E625" s="12"/>
      <c r="F625" s="12"/>
      <c r="G625" s="12">
        <f>E625*F625</f>
        <v>0</v>
      </c>
      <c r="H625" s="12">
        <f>G625/10</f>
        <v>0</v>
      </c>
      <c r="I625" s="12">
        <f t="shared" si="135"/>
        <v>0</v>
      </c>
      <c r="J625" s="12"/>
      <c r="K625" s="12">
        <f>E625-J625</f>
        <v>0</v>
      </c>
      <c r="L625" s="11">
        <f>F625*K625</f>
        <v>0</v>
      </c>
      <c r="M625" s="11"/>
    </row>
    <row r="626" spans="2:13" ht="27" customHeight="1">
      <c r="B626" s="17"/>
      <c r="C626" s="18"/>
      <c r="D626" s="19" t="s">
        <v>405</v>
      </c>
      <c r="E626" s="20"/>
      <c r="F626" s="20"/>
      <c r="G626" s="20">
        <f>SUM(G624:G625)</f>
        <v>0</v>
      </c>
      <c r="H626" s="20">
        <f>SUM(H624:H625)</f>
        <v>0</v>
      </c>
      <c r="I626" s="20">
        <f t="shared" si="135"/>
        <v>0</v>
      </c>
      <c r="J626" s="20"/>
      <c r="K626" s="20"/>
      <c r="L626" s="20">
        <f>SUM(L624:L625)</f>
        <v>0</v>
      </c>
      <c r="M626" s="19"/>
    </row>
    <row r="627" spans="2:13" ht="27" customHeight="1">
      <c r="B627" s="9" t="s">
        <v>640</v>
      </c>
      <c r="C627" s="10" t="s">
        <v>17</v>
      </c>
      <c r="D627" s="11" t="s">
        <v>641</v>
      </c>
      <c r="E627" s="12">
        <v>5500</v>
      </c>
      <c r="F627" s="12"/>
      <c r="G627" s="12">
        <f t="shared" ref="G627:G632" si="136">E627*F627</f>
        <v>0</v>
      </c>
      <c r="H627" s="12">
        <f t="shared" ref="H627:H632" si="137">G627/10</f>
        <v>0</v>
      </c>
      <c r="I627" s="12">
        <f t="shared" si="135"/>
        <v>0</v>
      </c>
      <c r="J627" s="12">
        <v>5000</v>
      </c>
      <c r="K627" s="12">
        <f t="shared" ref="K627:K632" si="138">E627-J627</f>
        <v>500</v>
      </c>
      <c r="L627" s="11">
        <f t="shared" ref="L627:L632" si="139">F627*K627</f>
        <v>0</v>
      </c>
      <c r="M627" s="11"/>
    </row>
    <row r="628" spans="2:13" ht="27" customHeight="1">
      <c r="B628" s="13"/>
      <c r="C628" s="10" t="s">
        <v>17</v>
      </c>
      <c r="D628" s="11" t="s">
        <v>642</v>
      </c>
      <c r="E628" s="12">
        <v>8600</v>
      </c>
      <c r="F628" s="12"/>
      <c r="G628" s="12">
        <f t="shared" si="136"/>
        <v>0</v>
      </c>
      <c r="H628" s="12">
        <f t="shared" si="137"/>
        <v>0</v>
      </c>
      <c r="I628" s="12">
        <f t="shared" si="135"/>
        <v>0</v>
      </c>
      <c r="J628" s="12">
        <v>6851</v>
      </c>
      <c r="K628" s="12">
        <f t="shared" si="138"/>
        <v>1749</v>
      </c>
      <c r="L628" s="11">
        <f t="shared" si="139"/>
        <v>0</v>
      </c>
      <c r="M628" s="11"/>
    </row>
    <row r="629" spans="2:13" ht="27" customHeight="1">
      <c r="B629" s="13"/>
      <c r="C629" s="10" t="s">
        <v>17</v>
      </c>
      <c r="D629" s="11" t="s">
        <v>643</v>
      </c>
      <c r="E629" s="12">
        <v>8600</v>
      </c>
      <c r="F629" s="12"/>
      <c r="G629" s="12">
        <f t="shared" si="136"/>
        <v>0</v>
      </c>
      <c r="H629" s="12">
        <f t="shared" si="137"/>
        <v>0</v>
      </c>
      <c r="I629" s="12">
        <f t="shared" si="135"/>
        <v>0</v>
      </c>
      <c r="J629" s="12">
        <v>6851</v>
      </c>
      <c r="K629" s="12">
        <f t="shared" si="138"/>
        <v>1749</v>
      </c>
      <c r="L629" s="11">
        <f t="shared" si="139"/>
        <v>0</v>
      </c>
      <c r="M629" s="11"/>
    </row>
    <row r="630" spans="2:13" ht="27" customHeight="1">
      <c r="B630" s="13"/>
      <c r="C630" s="10" t="s">
        <v>17</v>
      </c>
      <c r="D630" s="11" t="s">
        <v>644</v>
      </c>
      <c r="E630" s="12">
        <v>7200</v>
      </c>
      <c r="F630" s="12"/>
      <c r="G630" s="12">
        <f t="shared" si="136"/>
        <v>0</v>
      </c>
      <c r="H630" s="12">
        <f t="shared" si="137"/>
        <v>0</v>
      </c>
      <c r="I630" s="12">
        <f t="shared" si="135"/>
        <v>0</v>
      </c>
      <c r="J630" s="12">
        <v>6286</v>
      </c>
      <c r="K630" s="12">
        <f t="shared" si="138"/>
        <v>914</v>
      </c>
      <c r="L630" s="11">
        <f t="shared" si="139"/>
        <v>0</v>
      </c>
      <c r="M630" s="11"/>
    </row>
    <row r="631" spans="2:13" ht="27" customHeight="1">
      <c r="B631" s="13"/>
      <c r="C631" s="10" t="s">
        <v>17</v>
      </c>
      <c r="D631" s="11" t="s">
        <v>645</v>
      </c>
      <c r="E631" s="12">
        <v>10000</v>
      </c>
      <c r="F631" s="12"/>
      <c r="G631" s="12">
        <f t="shared" si="136"/>
        <v>0</v>
      </c>
      <c r="H631" s="12">
        <f t="shared" si="137"/>
        <v>0</v>
      </c>
      <c r="I631" s="12">
        <f t="shared" si="135"/>
        <v>0</v>
      </c>
      <c r="J631" s="12">
        <v>7333</v>
      </c>
      <c r="K631" s="12">
        <f t="shared" si="138"/>
        <v>2667</v>
      </c>
      <c r="L631" s="11">
        <f t="shared" si="139"/>
        <v>0</v>
      </c>
      <c r="M631" s="11"/>
    </row>
    <row r="632" spans="2:13" ht="27" customHeight="1">
      <c r="B632" s="13"/>
      <c r="C632" s="10" t="s">
        <v>17</v>
      </c>
      <c r="D632" s="11" t="s">
        <v>646</v>
      </c>
      <c r="E632" s="12">
        <v>10000</v>
      </c>
      <c r="F632" s="12"/>
      <c r="G632" s="12">
        <f t="shared" si="136"/>
        <v>0</v>
      </c>
      <c r="H632" s="12">
        <f t="shared" si="137"/>
        <v>0</v>
      </c>
      <c r="I632" s="12">
        <f t="shared" si="135"/>
        <v>0</v>
      </c>
      <c r="J632" s="12">
        <v>7333</v>
      </c>
      <c r="K632" s="12">
        <f t="shared" si="138"/>
        <v>2667</v>
      </c>
      <c r="L632" s="11">
        <f t="shared" si="139"/>
        <v>0</v>
      </c>
      <c r="M632" s="11" t="s">
        <v>647</v>
      </c>
    </row>
    <row r="633" spans="2:13" ht="27" customHeight="1">
      <c r="B633" s="17"/>
      <c r="C633" s="18"/>
      <c r="D633" s="19" t="s">
        <v>405</v>
      </c>
      <c r="E633" s="20"/>
      <c r="F633" s="20"/>
      <c r="G633" s="20">
        <f>SUM(G627:G632)</f>
        <v>0</v>
      </c>
      <c r="H633" s="20">
        <f>SUM(H627:H632)</f>
        <v>0</v>
      </c>
      <c r="I633" s="20">
        <f t="shared" si="135"/>
        <v>0</v>
      </c>
      <c r="J633" s="20"/>
      <c r="K633" s="20"/>
      <c r="L633" s="20">
        <f>SUM(L627:L632)</f>
        <v>0</v>
      </c>
      <c r="M633" s="19"/>
    </row>
    <row r="634" spans="2:13" ht="27" customHeight="1">
      <c r="B634" s="9" t="s">
        <v>648</v>
      </c>
      <c r="C634" s="10" t="s">
        <v>45</v>
      </c>
      <c r="D634" s="11" t="s">
        <v>649</v>
      </c>
      <c r="E634" s="12">
        <v>75</v>
      </c>
      <c r="F634" s="12"/>
      <c r="G634" s="12">
        <f>E634*F634</f>
        <v>0</v>
      </c>
      <c r="H634" s="12">
        <f>G634/10</f>
        <v>0</v>
      </c>
      <c r="I634" s="12">
        <f t="shared" si="135"/>
        <v>0</v>
      </c>
      <c r="J634" s="12">
        <v>40</v>
      </c>
      <c r="K634" s="12">
        <f>E634-J634</f>
        <v>35</v>
      </c>
      <c r="L634" s="11">
        <f>F634*K634</f>
        <v>0</v>
      </c>
      <c r="M634" s="11"/>
    </row>
    <row r="635" spans="2:13" ht="27" customHeight="1">
      <c r="B635" s="13"/>
      <c r="C635" s="10"/>
      <c r="D635" s="11"/>
      <c r="E635" s="12"/>
      <c r="F635" s="12"/>
      <c r="G635" s="12">
        <f>E635*F635</f>
        <v>0</v>
      </c>
      <c r="H635" s="12">
        <f>G635/10</f>
        <v>0</v>
      </c>
      <c r="I635" s="12">
        <f t="shared" si="135"/>
        <v>0</v>
      </c>
      <c r="J635" s="12"/>
      <c r="K635" s="12">
        <f>E635-J635</f>
        <v>0</v>
      </c>
      <c r="L635" s="11">
        <f>F635*K635</f>
        <v>0</v>
      </c>
      <c r="M635" s="11"/>
    </row>
    <row r="636" spans="2:13" ht="27" customHeight="1">
      <c r="B636" s="17"/>
      <c r="C636" s="18"/>
      <c r="D636" s="19" t="s">
        <v>405</v>
      </c>
      <c r="E636" s="20"/>
      <c r="F636" s="20"/>
      <c r="G636" s="20">
        <f>SUM(G634:G635)</f>
        <v>0</v>
      </c>
      <c r="H636" s="20">
        <f>SUM(H634:H635)</f>
        <v>0</v>
      </c>
      <c r="I636" s="20">
        <f t="shared" si="135"/>
        <v>0</v>
      </c>
      <c r="J636" s="20"/>
      <c r="K636" s="20"/>
      <c r="L636" s="20">
        <f>SUM(L634:L635)</f>
        <v>0</v>
      </c>
      <c r="M636" s="19"/>
    </row>
    <row r="637" spans="2:13" ht="27" customHeight="1">
      <c r="B637" s="9" t="s">
        <v>650</v>
      </c>
      <c r="C637" s="10" t="s">
        <v>17</v>
      </c>
      <c r="D637" s="11" t="s">
        <v>651</v>
      </c>
      <c r="E637" s="12">
        <v>7800</v>
      </c>
      <c r="F637" s="12"/>
      <c r="G637" s="12">
        <f>E637*F637</f>
        <v>0</v>
      </c>
      <c r="H637" s="12">
        <f>G637/10</f>
        <v>0</v>
      </c>
      <c r="I637" s="12">
        <f t="shared" si="135"/>
        <v>0</v>
      </c>
      <c r="J637" s="12">
        <v>7194</v>
      </c>
      <c r="K637" s="12">
        <f>E637-J637</f>
        <v>606</v>
      </c>
      <c r="L637" s="11">
        <f>F637*K637</f>
        <v>0</v>
      </c>
      <c r="M637" s="11"/>
    </row>
    <row r="638" spans="2:13" ht="27" customHeight="1">
      <c r="B638" s="13"/>
      <c r="C638" s="10"/>
      <c r="D638" s="11"/>
      <c r="E638" s="12"/>
      <c r="F638" s="12"/>
      <c r="G638" s="12">
        <f>E638*F638</f>
        <v>0</v>
      </c>
      <c r="H638" s="12">
        <f>G638/10</f>
        <v>0</v>
      </c>
      <c r="I638" s="12">
        <f t="shared" si="135"/>
        <v>0</v>
      </c>
      <c r="J638" s="12"/>
      <c r="K638" s="12">
        <f>E638-J638</f>
        <v>0</v>
      </c>
      <c r="L638" s="11">
        <f>F638*K638</f>
        <v>0</v>
      </c>
      <c r="M638" s="11"/>
    </row>
    <row r="639" spans="2:13" ht="27" customHeight="1">
      <c r="B639" s="17"/>
      <c r="C639" s="18"/>
      <c r="D639" s="19" t="s">
        <v>405</v>
      </c>
      <c r="E639" s="20"/>
      <c r="F639" s="20"/>
      <c r="G639" s="20">
        <f>SUM(G637:G638)</f>
        <v>0</v>
      </c>
      <c r="H639" s="20">
        <f>SUM(H637:H638)</f>
        <v>0</v>
      </c>
      <c r="I639" s="20">
        <f t="shared" si="135"/>
        <v>0</v>
      </c>
      <c r="J639" s="20"/>
      <c r="K639" s="20"/>
      <c r="L639" s="20">
        <f>SUM(L637:L638)</f>
        <v>0</v>
      </c>
      <c r="M639" s="19"/>
    </row>
    <row r="640" spans="2:13" ht="27" customHeight="1">
      <c r="B640" s="9" t="s">
        <v>652</v>
      </c>
      <c r="C640" s="10" t="s">
        <v>23</v>
      </c>
      <c r="D640" s="11" t="s">
        <v>653</v>
      </c>
      <c r="E640" s="12">
        <v>350</v>
      </c>
      <c r="F640" s="12"/>
      <c r="G640" s="12">
        <f t="shared" ref="G640:G645" si="140">E640*F640</f>
        <v>0</v>
      </c>
      <c r="H640" s="12">
        <f t="shared" ref="H640:H645" si="141">G640/10</f>
        <v>0</v>
      </c>
      <c r="I640" s="12">
        <f t="shared" si="135"/>
        <v>0</v>
      </c>
      <c r="J640" s="12">
        <v>280</v>
      </c>
      <c r="K640" s="12">
        <f t="shared" ref="K640:K645" si="142">E640-J640</f>
        <v>70</v>
      </c>
      <c r="L640" s="11">
        <f t="shared" ref="L640:L645" si="143">F640*K640</f>
        <v>0</v>
      </c>
      <c r="M640" s="11"/>
    </row>
    <row r="641" spans="2:13" ht="27" customHeight="1">
      <c r="B641" s="13"/>
      <c r="C641" s="10" t="s">
        <v>23</v>
      </c>
      <c r="D641" s="11" t="s">
        <v>654</v>
      </c>
      <c r="E641" s="12">
        <v>360</v>
      </c>
      <c r="F641" s="12"/>
      <c r="G641" s="12">
        <f t="shared" si="140"/>
        <v>0</v>
      </c>
      <c r="H641" s="12">
        <f t="shared" si="141"/>
        <v>0</v>
      </c>
      <c r="I641" s="12">
        <f t="shared" si="135"/>
        <v>0</v>
      </c>
      <c r="J641" s="12">
        <v>280</v>
      </c>
      <c r="K641" s="12">
        <f t="shared" si="142"/>
        <v>80</v>
      </c>
      <c r="L641" s="11">
        <f t="shared" si="143"/>
        <v>0</v>
      </c>
      <c r="M641" s="11"/>
    </row>
    <row r="642" spans="2:13" ht="27" customHeight="1">
      <c r="B642" s="13"/>
      <c r="C642" s="10" t="s">
        <v>17</v>
      </c>
      <c r="D642" s="11" t="s">
        <v>655</v>
      </c>
      <c r="E642" s="12">
        <v>8200</v>
      </c>
      <c r="F642" s="12"/>
      <c r="G642" s="12">
        <f t="shared" si="140"/>
        <v>0</v>
      </c>
      <c r="H642" s="12">
        <f t="shared" si="141"/>
        <v>0</v>
      </c>
      <c r="I642" s="12">
        <f t="shared" si="135"/>
        <v>0</v>
      </c>
      <c r="J642" s="12">
        <v>6851</v>
      </c>
      <c r="K642" s="12">
        <f t="shared" si="142"/>
        <v>1349</v>
      </c>
      <c r="L642" s="11">
        <f t="shared" si="143"/>
        <v>0</v>
      </c>
      <c r="M642" s="11" t="s">
        <v>656</v>
      </c>
    </row>
    <row r="643" spans="2:13" ht="27" customHeight="1">
      <c r="B643" s="13"/>
      <c r="C643" s="10" t="s">
        <v>14</v>
      </c>
      <c r="D643" s="11" t="s">
        <v>657</v>
      </c>
      <c r="E643" s="12">
        <v>9500</v>
      </c>
      <c r="F643" s="12"/>
      <c r="G643" s="12">
        <f t="shared" si="140"/>
        <v>0</v>
      </c>
      <c r="H643" s="12">
        <f t="shared" si="141"/>
        <v>0</v>
      </c>
      <c r="I643" s="12">
        <f t="shared" si="135"/>
        <v>0</v>
      </c>
      <c r="J643" s="12">
        <v>9220</v>
      </c>
      <c r="K643" s="12">
        <f t="shared" si="142"/>
        <v>280</v>
      </c>
      <c r="L643" s="11">
        <f t="shared" si="143"/>
        <v>0</v>
      </c>
      <c r="M643" s="11"/>
    </row>
    <row r="644" spans="2:13" ht="27" customHeight="1">
      <c r="B644" s="13"/>
      <c r="C644" s="10" t="s">
        <v>17</v>
      </c>
      <c r="D644" s="11" t="s">
        <v>61</v>
      </c>
      <c r="E644" s="12">
        <v>8200</v>
      </c>
      <c r="F644" s="12"/>
      <c r="G644" s="12">
        <f t="shared" si="140"/>
        <v>0</v>
      </c>
      <c r="H644" s="12">
        <f t="shared" si="141"/>
        <v>0</v>
      </c>
      <c r="I644" s="12">
        <f t="shared" si="135"/>
        <v>0</v>
      </c>
      <c r="J644" s="12">
        <v>6756</v>
      </c>
      <c r="K644" s="12">
        <f t="shared" si="142"/>
        <v>1444</v>
      </c>
      <c r="L644" s="11">
        <f t="shared" si="143"/>
        <v>0</v>
      </c>
      <c r="M644" s="11"/>
    </row>
    <row r="645" spans="2:13" ht="27" customHeight="1">
      <c r="B645" s="13"/>
      <c r="C645" s="10" t="s">
        <v>99</v>
      </c>
      <c r="D645" s="11" t="s">
        <v>188</v>
      </c>
      <c r="E645" s="12">
        <v>210000</v>
      </c>
      <c r="F645" s="12"/>
      <c r="G645" s="12">
        <f t="shared" si="140"/>
        <v>0</v>
      </c>
      <c r="H645" s="12">
        <f t="shared" si="141"/>
        <v>0</v>
      </c>
      <c r="I645" s="12">
        <f t="shared" si="135"/>
        <v>0</v>
      </c>
      <c r="J645" s="12"/>
      <c r="K645" s="12">
        <f t="shared" si="142"/>
        <v>210000</v>
      </c>
      <c r="L645" s="11">
        <f t="shared" si="143"/>
        <v>0</v>
      </c>
      <c r="M645" s="11"/>
    </row>
    <row r="646" spans="2:13" ht="27" customHeight="1">
      <c r="B646" s="17"/>
      <c r="C646" s="18"/>
      <c r="D646" s="19" t="s">
        <v>405</v>
      </c>
      <c r="E646" s="20"/>
      <c r="F646" s="20"/>
      <c r="G646" s="20">
        <f>SUM(G642:G645)</f>
        <v>0</v>
      </c>
      <c r="H646" s="20">
        <f>SUM(H642:H645)</f>
        <v>0</v>
      </c>
      <c r="I646" s="20">
        <f>SUM(I642:I645)</f>
        <v>0</v>
      </c>
      <c r="J646" s="20"/>
      <c r="K646" s="20"/>
      <c r="L646" s="20">
        <f>SUM(L642:L645)</f>
        <v>0</v>
      </c>
      <c r="M646" s="19"/>
    </row>
    <row r="647" spans="2:13" ht="27" customHeight="1">
      <c r="B647" s="9" t="s">
        <v>658</v>
      </c>
      <c r="C647" s="10" t="s">
        <v>23</v>
      </c>
      <c r="D647" s="11" t="s">
        <v>659</v>
      </c>
      <c r="E647" s="12">
        <v>310</v>
      </c>
      <c r="F647" s="12"/>
      <c r="G647" s="12">
        <f>E647*F647</f>
        <v>0</v>
      </c>
      <c r="H647" s="12">
        <f>G647/10</f>
        <v>0</v>
      </c>
      <c r="I647" s="12">
        <f t="shared" ref="I647:I659" si="144">G647+H647</f>
        <v>0</v>
      </c>
      <c r="J647" s="12">
        <v>260</v>
      </c>
      <c r="K647" s="12">
        <f>E647-J647</f>
        <v>50</v>
      </c>
      <c r="L647" s="11">
        <f>F647*K647</f>
        <v>0</v>
      </c>
      <c r="M647" s="11"/>
    </row>
    <row r="648" spans="2:13" ht="27" customHeight="1">
      <c r="B648" s="17"/>
      <c r="C648" s="18"/>
      <c r="D648" s="19" t="s">
        <v>405</v>
      </c>
      <c r="E648" s="20"/>
      <c r="F648" s="20"/>
      <c r="G648" s="20">
        <f>SUM(G647:G647)</f>
        <v>0</v>
      </c>
      <c r="H648" s="20">
        <f>SUM(H647:H647)</f>
        <v>0</v>
      </c>
      <c r="I648" s="20">
        <f t="shared" si="144"/>
        <v>0</v>
      </c>
      <c r="J648" s="20"/>
      <c r="K648" s="20"/>
      <c r="L648" s="20">
        <f>SUM(L647:L647)</f>
        <v>0</v>
      </c>
      <c r="M648" s="19"/>
    </row>
    <row r="649" spans="2:13" ht="27" customHeight="1">
      <c r="B649" s="82" t="s">
        <v>660</v>
      </c>
      <c r="C649" s="10" t="s">
        <v>17</v>
      </c>
      <c r="D649" s="11" t="s">
        <v>661</v>
      </c>
      <c r="E649" s="12">
        <v>8200</v>
      </c>
      <c r="F649" s="12"/>
      <c r="G649" s="12">
        <f t="shared" ref="G649:G659" si="145">E649*F649</f>
        <v>0</v>
      </c>
      <c r="H649" s="12">
        <f t="shared" ref="H649:H659" si="146">G649/10</f>
        <v>0</v>
      </c>
      <c r="I649" s="12">
        <f t="shared" si="144"/>
        <v>0</v>
      </c>
      <c r="J649" s="12">
        <v>6851</v>
      </c>
      <c r="K649" s="12">
        <f>E649-J649</f>
        <v>1349</v>
      </c>
      <c r="L649" s="83">
        <f t="shared" ref="L649:L659" si="147">F649*K649</f>
        <v>0</v>
      </c>
      <c r="M649" s="11"/>
    </row>
    <row r="650" spans="2:13" ht="27" customHeight="1">
      <c r="B650" s="84"/>
      <c r="C650" s="10" t="s">
        <v>17</v>
      </c>
      <c r="D650" s="11" t="s">
        <v>662</v>
      </c>
      <c r="E650" s="12">
        <v>8200</v>
      </c>
      <c r="F650" s="12"/>
      <c r="G650" s="12">
        <f t="shared" si="145"/>
        <v>0</v>
      </c>
      <c r="H650" s="12">
        <f t="shared" si="146"/>
        <v>0</v>
      </c>
      <c r="I650" s="12">
        <f t="shared" si="144"/>
        <v>0</v>
      </c>
      <c r="J650" s="12">
        <v>6851</v>
      </c>
      <c r="K650" s="12">
        <f>E650-J650</f>
        <v>1349</v>
      </c>
      <c r="L650" s="83">
        <f t="shared" si="147"/>
        <v>0</v>
      </c>
      <c r="M650" s="11"/>
    </row>
    <row r="651" spans="2:13" ht="27" customHeight="1">
      <c r="B651" s="84"/>
      <c r="C651" s="10" t="s">
        <v>45</v>
      </c>
      <c r="D651" s="11" t="s">
        <v>46</v>
      </c>
      <c r="E651" s="12">
        <v>1500</v>
      </c>
      <c r="F651" s="12"/>
      <c r="G651" s="12">
        <f t="shared" si="145"/>
        <v>0</v>
      </c>
      <c r="H651" s="12">
        <f t="shared" si="146"/>
        <v>0</v>
      </c>
      <c r="I651" s="12">
        <f t="shared" si="144"/>
        <v>0</v>
      </c>
      <c r="J651" s="12">
        <v>1220</v>
      </c>
      <c r="K651" s="12">
        <v>280</v>
      </c>
      <c r="L651" s="83">
        <f t="shared" si="147"/>
        <v>0</v>
      </c>
      <c r="M651" s="11"/>
    </row>
    <row r="652" spans="2:13" ht="27" customHeight="1">
      <c r="B652" s="84"/>
      <c r="C652" s="10" t="s">
        <v>23</v>
      </c>
      <c r="D652" s="11" t="s">
        <v>663</v>
      </c>
      <c r="E652" s="12">
        <v>350</v>
      </c>
      <c r="F652" s="12">
        <v>5000</v>
      </c>
      <c r="G652" s="12">
        <f t="shared" si="145"/>
        <v>1750000</v>
      </c>
      <c r="H652" s="12">
        <f t="shared" si="146"/>
        <v>175000</v>
      </c>
      <c r="I652" s="12">
        <f t="shared" si="144"/>
        <v>1925000</v>
      </c>
      <c r="J652" s="12">
        <v>320</v>
      </c>
      <c r="K652" s="12">
        <f t="shared" ref="K652:K659" si="148">E652-J652</f>
        <v>30</v>
      </c>
      <c r="L652" s="83">
        <f t="shared" si="147"/>
        <v>150000</v>
      </c>
      <c r="M652" s="11" t="s">
        <v>664</v>
      </c>
    </row>
    <row r="653" spans="2:13" ht="27" customHeight="1">
      <c r="B653" s="84"/>
      <c r="C653" s="10" t="s">
        <v>23</v>
      </c>
      <c r="D653" s="11" t="s">
        <v>665</v>
      </c>
      <c r="E653" s="12">
        <v>545</v>
      </c>
      <c r="F653" s="12"/>
      <c r="G653" s="12">
        <f t="shared" si="145"/>
        <v>0</v>
      </c>
      <c r="H653" s="12">
        <f t="shared" si="146"/>
        <v>0</v>
      </c>
      <c r="I653" s="12">
        <f t="shared" si="144"/>
        <v>0</v>
      </c>
      <c r="J653" s="12">
        <v>450</v>
      </c>
      <c r="K653" s="12">
        <f t="shared" si="148"/>
        <v>95</v>
      </c>
      <c r="L653" s="83">
        <f t="shared" si="147"/>
        <v>0</v>
      </c>
      <c r="M653" s="11"/>
    </row>
    <row r="654" spans="2:13" ht="27" customHeight="1">
      <c r="B654" s="84"/>
      <c r="C654" s="10" t="s">
        <v>23</v>
      </c>
      <c r="D654" s="11" t="s">
        <v>666</v>
      </c>
      <c r="E654" s="12">
        <v>220</v>
      </c>
      <c r="F654" s="12"/>
      <c r="G654" s="12">
        <f t="shared" si="145"/>
        <v>0</v>
      </c>
      <c r="H654" s="12">
        <f t="shared" si="146"/>
        <v>0</v>
      </c>
      <c r="I654" s="12">
        <f t="shared" si="144"/>
        <v>0</v>
      </c>
      <c r="J654" s="12">
        <v>160</v>
      </c>
      <c r="K654" s="12">
        <f t="shared" si="148"/>
        <v>60</v>
      </c>
      <c r="L654" s="83">
        <f t="shared" si="147"/>
        <v>0</v>
      </c>
      <c r="M654" s="11"/>
    </row>
    <row r="655" spans="2:13" ht="27" customHeight="1">
      <c r="B655" s="84"/>
      <c r="C655" s="10" t="s">
        <v>23</v>
      </c>
      <c r="D655" s="11" t="s">
        <v>667</v>
      </c>
      <c r="E655" s="12">
        <v>350</v>
      </c>
      <c r="F655" s="12"/>
      <c r="G655" s="12">
        <f t="shared" si="145"/>
        <v>0</v>
      </c>
      <c r="H655" s="12">
        <f t="shared" si="146"/>
        <v>0</v>
      </c>
      <c r="I655" s="12">
        <f t="shared" si="144"/>
        <v>0</v>
      </c>
      <c r="J655" s="12">
        <v>280</v>
      </c>
      <c r="K655" s="12">
        <f t="shared" si="148"/>
        <v>70</v>
      </c>
      <c r="L655" s="83">
        <f t="shared" si="147"/>
        <v>0</v>
      </c>
      <c r="M655" s="11" t="s">
        <v>668</v>
      </c>
    </row>
    <row r="656" spans="2:13" ht="27" customHeight="1">
      <c r="B656" s="84"/>
      <c r="C656" s="10" t="s">
        <v>23</v>
      </c>
      <c r="D656" s="11" t="s">
        <v>669</v>
      </c>
      <c r="E656" s="12">
        <v>220</v>
      </c>
      <c r="F656" s="12"/>
      <c r="G656" s="12">
        <f t="shared" si="145"/>
        <v>0</v>
      </c>
      <c r="H656" s="12">
        <f t="shared" si="146"/>
        <v>0</v>
      </c>
      <c r="I656" s="12">
        <f t="shared" si="144"/>
        <v>0</v>
      </c>
      <c r="J656" s="12">
        <v>160</v>
      </c>
      <c r="K656" s="12">
        <f t="shared" si="148"/>
        <v>60</v>
      </c>
      <c r="L656" s="85">
        <f t="shared" si="147"/>
        <v>0</v>
      </c>
      <c r="M656" s="11"/>
    </row>
    <row r="657" spans="2:13" ht="27" customHeight="1">
      <c r="B657" s="84"/>
      <c r="C657" s="10" t="s">
        <v>45</v>
      </c>
      <c r="D657" s="11" t="s">
        <v>670</v>
      </c>
      <c r="E657" s="12">
        <v>4300</v>
      </c>
      <c r="F657" s="12"/>
      <c r="G657" s="12">
        <f t="shared" si="145"/>
        <v>0</v>
      </c>
      <c r="H657" s="12">
        <f t="shared" si="146"/>
        <v>0</v>
      </c>
      <c r="I657" s="12">
        <f t="shared" si="144"/>
        <v>0</v>
      </c>
      <c r="J657" s="12">
        <v>3800</v>
      </c>
      <c r="K657" s="12">
        <f t="shared" si="148"/>
        <v>500</v>
      </c>
      <c r="L657" s="83">
        <f t="shared" si="147"/>
        <v>0</v>
      </c>
      <c r="M657" s="11"/>
    </row>
    <row r="658" spans="2:13" ht="27" customHeight="1">
      <c r="B658" s="84"/>
      <c r="C658" s="10" t="s">
        <v>45</v>
      </c>
      <c r="D658" s="11" t="s">
        <v>194</v>
      </c>
      <c r="E658" s="12">
        <v>6000</v>
      </c>
      <c r="F658" s="12"/>
      <c r="G658" s="12">
        <f t="shared" si="145"/>
        <v>0</v>
      </c>
      <c r="H658" s="12">
        <f t="shared" si="146"/>
        <v>0</v>
      </c>
      <c r="I658" s="12">
        <f t="shared" si="144"/>
        <v>0</v>
      </c>
      <c r="J658" s="12">
        <v>4400</v>
      </c>
      <c r="K658" s="12">
        <f t="shared" si="148"/>
        <v>1600</v>
      </c>
      <c r="L658" s="83">
        <f t="shared" si="147"/>
        <v>0</v>
      </c>
      <c r="M658" s="11"/>
    </row>
    <row r="659" spans="2:13" ht="27" customHeight="1">
      <c r="B659" s="84"/>
      <c r="C659" s="10" t="s">
        <v>99</v>
      </c>
      <c r="D659" s="11" t="s">
        <v>671</v>
      </c>
      <c r="E659" s="12">
        <v>340000</v>
      </c>
      <c r="F659" s="12"/>
      <c r="G659" s="12">
        <f t="shared" si="145"/>
        <v>0</v>
      </c>
      <c r="H659" s="12">
        <f t="shared" si="146"/>
        <v>0</v>
      </c>
      <c r="I659" s="12">
        <f t="shared" si="144"/>
        <v>0</v>
      </c>
      <c r="J659" s="12"/>
      <c r="K659" s="12">
        <f t="shared" si="148"/>
        <v>340000</v>
      </c>
      <c r="L659" s="83">
        <f t="shared" si="147"/>
        <v>0</v>
      </c>
      <c r="M659" s="11"/>
    </row>
    <row r="660" spans="2:13" ht="27" customHeight="1">
      <c r="B660" s="86"/>
      <c r="C660" s="18"/>
      <c r="D660" s="19" t="s">
        <v>156</v>
      </c>
      <c r="E660" s="20"/>
      <c r="F660" s="20"/>
      <c r="G660" s="20">
        <f>SUM(G649:G659)</f>
        <v>1750000</v>
      </c>
      <c r="H660" s="20">
        <f>SUM(H649:H659)</f>
        <v>175000</v>
      </c>
      <c r="I660" s="20">
        <f>SUM(I649:I659)</f>
        <v>1925000</v>
      </c>
      <c r="J660" s="20"/>
      <c r="K660" s="20"/>
      <c r="L660" s="20">
        <f>SUM(L649:L659)</f>
        <v>150000</v>
      </c>
      <c r="M660" s="19"/>
    </row>
    <row r="661" spans="2:13" ht="27" customHeight="1">
      <c r="B661" s="9" t="s">
        <v>672</v>
      </c>
      <c r="C661" s="10" t="s">
        <v>23</v>
      </c>
      <c r="D661" s="11" t="s">
        <v>673</v>
      </c>
      <c r="E661" s="12">
        <v>420</v>
      </c>
      <c r="F661" s="12"/>
      <c r="G661" s="12">
        <f>E661*F661</f>
        <v>0</v>
      </c>
      <c r="H661" s="12">
        <f>G661/10</f>
        <v>0</v>
      </c>
      <c r="I661" s="12">
        <f>G661+H661</f>
        <v>0</v>
      </c>
      <c r="J661" s="12">
        <v>350</v>
      </c>
      <c r="K661" s="12">
        <f>E661-J661</f>
        <v>70</v>
      </c>
      <c r="L661" s="11">
        <f>F661*K661</f>
        <v>0</v>
      </c>
      <c r="M661" s="11"/>
    </row>
    <row r="662" spans="2:13" ht="27" customHeight="1">
      <c r="B662" s="13"/>
      <c r="C662" s="10" t="s">
        <v>23</v>
      </c>
      <c r="D662" s="11" t="s">
        <v>674</v>
      </c>
      <c r="E662" s="12">
        <v>680</v>
      </c>
      <c r="F662" s="12"/>
      <c r="G662" s="12">
        <f>E662*F662</f>
        <v>0</v>
      </c>
      <c r="H662" s="12">
        <f>G662/10</f>
        <v>0</v>
      </c>
      <c r="I662" s="12">
        <f>G662+H662</f>
        <v>0</v>
      </c>
      <c r="J662" s="37">
        <v>550</v>
      </c>
      <c r="K662" s="12">
        <f>E662-J662</f>
        <v>130</v>
      </c>
      <c r="L662" s="11">
        <f>F662*K662</f>
        <v>0</v>
      </c>
      <c r="M662" s="11" t="s">
        <v>675</v>
      </c>
    </row>
    <row r="663" spans="2:13" ht="27" customHeight="1">
      <c r="B663" s="13"/>
      <c r="C663" s="10" t="s">
        <v>23</v>
      </c>
      <c r="D663" s="11" t="s">
        <v>676</v>
      </c>
      <c r="E663" s="12">
        <v>630</v>
      </c>
      <c r="F663" s="12"/>
      <c r="G663" s="12">
        <f>E663*F663</f>
        <v>0</v>
      </c>
      <c r="H663" s="12">
        <f>G663/10</f>
        <v>0</v>
      </c>
      <c r="I663" s="12">
        <f>G663+H663</f>
        <v>0</v>
      </c>
      <c r="J663" s="12">
        <v>460</v>
      </c>
      <c r="K663" s="12">
        <f>E663-J663</f>
        <v>170</v>
      </c>
      <c r="L663" s="11">
        <f>F663*K663</f>
        <v>0</v>
      </c>
      <c r="M663" s="11" t="s">
        <v>677</v>
      </c>
    </row>
    <row r="664" spans="2:13" ht="27" customHeight="1">
      <c r="B664" s="13"/>
      <c r="C664" s="10" t="s">
        <v>45</v>
      </c>
      <c r="D664" s="11" t="s">
        <v>678</v>
      </c>
      <c r="E664" s="12">
        <v>6000</v>
      </c>
      <c r="F664" s="12"/>
      <c r="G664" s="12">
        <f>E664*F664</f>
        <v>0</v>
      </c>
      <c r="H664" s="12">
        <f>G664/10</f>
        <v>0</v>
      </c>
      <c r="I664" s="12">
        <f>G664+H664</f>
        <v>0</v>
      </c>
      <c r="J664" s="12">
        <v>4000</v>
      </c>
      <c r="K664" s="12">
        <f>E664-J664</f>
        <v>2000</v>
      </c>
      <c r="L664" s="11">
        <f>F664*K664</f>
        <v>0</v>
      </c>
      <c r="M664" s="11"/>
    </row>
    <row r="665" spans="2:13" ht="27" customHeight="1">
      <c r="B665" s="13"/>
      <c r="C665" s="10" t="s">
        <v>45</v>
      </c>
      <c r="D665" s="11" t="s">
        <v>679</v>
      </c>
      <c r="E665" s="12">
        <v>1800</v>
      </c>
      <c r="F665" s="12"/>
      <c r="G665" s="12"/>
      <c r="H665" s="12"/>
      <c r="I665" s="12"/>
      <c r="J665" s="12"/>
      <c r="K665" s="12"/>
      <c r="L665" s="11"/>
      <c r="M665" s="11"/>
    </row>
    <row r="666" spans="2:13" ht="27" customHeight="1">
      <c r="B666" s="13"/>
      <c r="C666" s="10" t="s">
        <v>45</v>
      </c>
      <c r="D666" s="11" t="s">
        <v>150</v>
      </c>
      <c r="E666" s="12">
        <v>1300</v>
      </c>
      <c r="F666" s="12"/>
      <c r="G666" s="12">
        <f>E666*F666</f>
        <v>0</v>
      </c>
      <c r="H666" s="12">
        <f>G666/10</f>
        <v>0</v>
      </c>
      <c r="I666" s="12">
        <f t="shared" ref="I666:I686" si="149">G666+H666</f>
        <v>0</v>
      </c>
      <c r="J666" s="12">
        <v>890</v>
      </c>
      <c r="K666" s="12">
        <f>E666-J666</f>
        <v>410</v>
      </c>
      <c r="L666" s="11">
        <f>F666*K666</f>
        <v>0</v>
      </c>
      <c r="M666" s="11"/>
    </row>
    <row r="667" spans="2:13" ht="27" customHeight="1">
      <c r="B667" s="13"/>
      <c r="C667" s="10" t="s">
        <v>99</v>
      </c>
      <c r="D667" s="11" t="s">
        <v>188</v>
      </c>
      <c r="E667" s="12">
        <v>300000</v>
      </c>
      <c r="F667" s="12"/>
      <c r="G667" s="12">
        <f>E667*F667</f>
        <v>0</v>
      </c>
      <c r="H667" s="12">
        <f>G667/10</f>
        <v>0</v>
      </c>
      <c r="I667" s="12">
        <f t="shared" si="149"/>
        <v>0</v>
      </c>
      <c r="J667" s="12"/>
      <c r="K667" s="12">
        <f>E667-J667</f>
        <v>300000</v>
      </c>
      <c r="L667" s="11">
        <f>F667*K667</f>
        <v>0</v>
      </c>
      <c r="M667" s="11"/>
    </row>
    <row r="668" spans="2:13" ht="27" customHeight="1">
      <c r="B668" s="17"/>
      <c r="C668" s="18"/>
      <c r="D668" s="19" t="s">
        <v>405</v>
      </c>
      <c r="E668" s="20"/>
      <c r="F668" s="20"/>
      <c r="G668" s="20">
        <f>SUM(G661:G667)</f>
        <v>0</v>
      </c>
      <c r="H668" s="20">
        <f>SUM(H661:H667)</f>
        <v>0</v>
      </c>
      <c r="I668" s="20">
        <f t="shared" si="149"/>
        <v>0</v>
      </c>
      <c r="J668" s="20"/>
      <c r="K668" s="20"/>
      <c r="L668" s="20">
        <f>SUM(L661:L667)</f>
        <v>0</v>
      </c>
      <c r="M668" s="81" t="e">
        <f>L668/G668</f>
        <v>#DIV/0!</v>
      </c>
    </row>
    <row r="669" spans="2:13" ht="27" customHeight="1">
      <c r="B669" s="9" t="s">
        <v>680</v>
      </c>
      <c r="C669" s="10" t="s">
        <v>17</v>
      </c>
      <c r="D669" s="11" t="s">
        <v>681</v>
      </c>
      <c r="E669" s="12">
        <v>8800</v>
      </c>
      <c r="F669" s="12"/>
      <c r="G669" s="12">
        <f>E669*F669</f>
        <v>0</v>
      </c>
      <c r="H669" s="12">
        <f>G669/10</f>
        <v>0</v>
      </c>
      <c r="I669" s="12">
        <f t="shared" si="149"/>
        <v>0</v>
      </c>
      <c r="J669" s="12">
        <v>6651</v>
      </c>
      <c r="K669" s="12">
        <f>E669-J669</f>
        <v>2149</v>
      </c>
      <c r="L669" s="83">
        <f>F669*K669</f>
        <v>0</v>
      </c>
      <c r="M669" s="11" t="s">
        <v>682</v>
      </c>
    </row>
    <row r="670" spans="2:13" ht="27" customHeight="1">
      <c r="B670" s="13"/>
      <c r="C670" s="10" t="s">
        <v>17</v>
      </c>
      <c r="D670" s="11" t="s">
        <v>683</v>
      </c>
      <c r="E670" s="12">
        <v>8800</v>
      </c>
      <c r="F670" s="12"/>
      <c r="G670" s="12">
        <f>E670*F670</f>
        <v>0</v>
      </c>
      <c r="H670" s="12">
        <f>G670/10</f>
        <v>0</v>
      </c>
      <c r="I670" s="12">
        <f t="shared" si="149"/>
        <v>0</v>
      </c>
      <c r="J670" s="12">
        <v>7194</v>
      </c>
      <c r="K670" s="12">
        <f>E670-J670</f>
        <v>1606</v>
      </c>
      <c r="L670" s="83">
        <f>F670*K670</f>
        <v>0</v>
      </c>
      <c r="M670" s="11" t="s">
        <v>682</v>
      </c>
    </row>
    <row r="671" spans="2:13" ht="27" customHeight="1">
      <c r="B671" s="13"/>
      <c r="C671" s="10"/>
      <c r="D671" s="11"/>
      <c r="E671" s="12"/>
      <c r="F671" s="12"/>
      <c r="G671" s="12">
        <f>E671*F671</f>
        <v>0</v>
      </c>
      <c r="H671" s="12">
        <f>G671/10</f>
        <v>0</v>
      </c>
      <c r="I671" s="12">
        <f t="shared" si="149"/>
        <v>0</v>
      </c>
      <c r="J671" s="12"/>
      <c r="K671" s="12">
        <f>E671-J671</f>
        <v>0</v>
      </c>
      <c r="L671" s="83">
        <f>F671*K671</f>
        <v>0</v>
      </c>
      <c r="M671" s="11"/>
    </row>
    <row r="672" spans="2:13" ht="27" customHeight="1">
      <c r="B672" s="17"/>
      <c r="C672" s="18"/>
      <c r="D672" s="19" t="s">
        <v>405</v>
      </c>
      <c r="E672" s="20"/>
      <c r="F672" s="20"/>
      <c r="G672" s="20">
        <f>SUM(G669:G671)</f>
        <v>0</v>
      </c>
      <c r="H672" s="20">
        <f>SUM(H669:H671)</f>
        <v>0</v>
      </c>
      <c r="I672" s="20">
        <f t="shared" si="149"/>
        <v>0</v>
      </c>
      <c r="J672" s="20"/>
      <c r="K672" s="20"/>
      <c r="L672" s="20">
        <f>SUM(L669:L671)</f>
        <v>0</v>
      </c>
      <c r="M672" s="19"/>
    </row>
    <row r="673" spans="2:13" ht="27" customHeight="1">
      <c r="B673" s="87" t="s">
        <v>684</v>
      </c>
      <c r="C673" s="10" t="s">
        <v>23</v>
      </c>
      <c r="D673" s="11" t="s">
        <v>685</v>
      </c>
      <c r="E673" s="12">
        <v>351</v>
      </c>
      <c r="F673" s="12"/>
      <c r="G673" s="12">
        <f t="shared" ref="G673:G686" si="150">E673*F673</f>
        <v>0</v>
      </c>
      <c r="H673" s="12">
        <f t="shared" ref="H673:H686" si="151">G673/10</f>
        <v>0</v>
      </c>
      <c r="I673" s="12">
        <f t="shared" si="149"/>
        <v>0</v>
      </c>
      <c r="J673" s="51">
        <v>329</v>
      </c>
      <c r="K673" s="51">
        <f t="shared" ref="K673:K685" si="152">E673-J673</f>
        <v>22</v>
      </c>
      <c r="L673" s="12">
        <f t="shared" ref="L673:L684" si="153">K673*F673</f>
        <v>0</v>
      </c>
      <c r="M673" s="11"/>
    </row>
    <row r="674" spans="2:13" ht="27" customHeight="1">
      <c r="B674" s="88"/>
      <c r="C674" s="10" t="s">
        <v>23</v>
      </c>
      <c r="D674" s="11" t="s">
        <v>686</v>
      </c>
      <c r="E674" s="12">
        <v>351</v>
      </c>
      <c r="F674" s="12"/>
      <c r="G674" s="12">
        <f t="shared" si="150"/>
        <v>0</v>
      </c>
      <c r="H674" s="12">
        <f t="shared" si="151"/>
        <v>0</v>
      </c>
      <c r="I674" s="12">
        <f t="shared" si="149"/>
        <v>0</v>
      </c>
      <c r="J674" s="51">
        <v>329</v>
      </c>
      <c r="K674" s="51">
        <f t="shared" si="152"/>
        <v>22</v>
      </c>
      <c r="L674" s="12">
        <f t="shared" si="153"/>
        <v>0</v>
      </c>
      <c r="M674" s="11"/>
    </row>
    <row r="675" spans="2:13" ht="27" customHeight="1">
      <c r="B675" s="88"/>
      <c r="C675" s="10" t="s">
        <v>23</v>
      </c>
      <c r="D675" s="11" t="s">
        <v>687</v>
      </c>
      <c r="E675" s="12">
        <v>461</v>
      </c>
      <c r="F675" s="12"/>
      <c r="G675" s="12">
        <f t="shared" si="150"/>
        <v>0</v>
      </c>
      <c r="H675" s="12">
        <f t="shared" si="151"/>
        <v>0</v>
      </c>
      <c r="I675" s="12">
        <f t="shared" si="149"/>
        <v>0</v>
      </c>
      <c r="J675" s="51">
        <v>329</v>
      </c>
      <c r="K675" s="51">
        <f t="shared" si="152"/>
        <v>132</v>
      </c>
      <c r="L675" s="12">
        <f t="shared" si="153"/>
        <v>0</v>
      </c>
      <c r="M675" s="11"/>
    </row>
    <row r="676" spans="2:13" ht="27" customHeight="1">
      <c r="B676" s="88"/>
      <c r="C676" s="10" t="s">
        <v>20</v>
      </c>
      <c r="D676" s="48" t="s">
        <v>688</v>
      </c>
      <c r="E676" s="52">
        <v>481</v>
      </c>
      <c r="F676" s="52"/>
      <c r="G676" s="52">
        <f t="shared" si="150"/>
        <v>0</v>
      </c>
      <c r="H676" s="52">
        <f t="shared" si="151"/>
        <v>0</v>
      </c>
      <c r="I676" s="52">
        <f t="shared" si="149"/>
        <v>0</v>
      </c>
      <c r="J676" s="89">
        <v>449</v>
      </c>
      <c r="K676" s="89">
        <f t="shared" si="152"/>
        <v>32</v>
      </c>
      <c r="L676" s="52">
        <f t="shared" si="153"/>
        <v>0</v>
      </c>
      <c r="M676" s="48"/>
    </row>
    <row r="677" spans="2:13" ht="27" customHeight="1">
      <c r="B677" s="88"/>
      <c r="C677" s="10" t="s">
        <v>20</v>
      </c>
      <c r="D677" s="48" t="s">
        <v>688</v>
      </c>
      <c r="E677" s="52">
        <v>471</v>
      </c>
      <c r="F677" s="52"/>
      <c r="G677" s="52">
        <f t="shared" si="150"/>
        <v>0</v>
      </c>
      <c r="H677" s="52">
        <f t="shared" si="151"/>
        <v>0</v>
      </c>
      <c r="I677" s="52">
        <f t="shared" si="149"/>
        <v>0</v>
      </c>
      <c r="J677" s="89">
        <v>421.7</v>
      </c>
      <c r="K677" s="89">
        <f t="shared" si="152"/>
        <v>49.300000000000011</v>
      </c>
      <c r="L677" s="52">
        <f t="shared" si="153"/>
        <v>0</v>
      </c>
      <c r="M677" s="48"/>
    </row>
    <row r="678" spans="2:13" ht="27" customHeight="1">
      <c r="B678" s="88"/>
      <c r="C678" s="10" t="s">
        <v>20</v>
      </c>
      <c r="D678" s="48" t="s">
        <v>689</v>
      </c>
      <c r="E678" s="52">
        <v>481</v>
      </c>
      <c r="F678" s="52"/>
      <c r="G678" s="52">
        <f t="shared" si="150"/>
        <v>0</v>
      </c>
      <c r="H678" s="52">
        <f t="shared" si="151"/>
        <v>0</v>
      </c>
      <c r="I678" s="90">
        <f t="shared" si="149"/>
        <v>0</v>
      </c>
      <c r="J678" s="89">
        <v>449</v>
      </c>
      <c r="K678" s="89">
        <f t="shared" si="152"/>
        <v>32</v>
      </c>
      <c r="L678" s="52">
        <f t="shared" si="153"/>
        <v>0</v>
      </c>
      <c r="M678" s="48"/>
    </row>
    <row r="679" spans="2:13" ht="27" customHeight="1">
      <c r="B679" s="88"/>
      <c r="C679" s="10" t="s">
        <v>20</v>
      </c>
      <c r="D679" s="48" t="s">
        <v>689</v>
      </c>
      <c r="E679" s="52">
        <v>471</v>
      </c>
      <c r="F679" s="52"/>
      <c r="G679" s="52">
        <f t="shared" si="150"/>
        <v>0</v>
      </c>
      <c r="H679" s="52">
        <f t="shared" si="151"/>
        <v>0</v>
      </c>
      <c r="I679" s="52">
        <f t="shared" si="149"/>
        <v>0</v>
      </c>
      <c r="J679" s="89">
        <v>430</v>
      </c>
      <c r="K679" s="89">
        <f t="shared" si="152"/>
        <v>41</v>
      </c>
      <c r="L679" s="52">
        <f t="shared" si="153"/>
        <v>0</v>
      </c>
      <c r="M679" s="48"/>
    </row>
    <row r="680" spans="2:13" ht="27" customHeight="1">
      <c r="B680" s="88"/>
      <c r="C680" s="10" t="s">
        <v>20</v>
      </c>
      <c r="D680" s="11" t="s">
        <v>690</v>
      </c>
      <c r="E680" s="12">
        <v>441</v>
      </c>
      <c r="F680" s="12"/>
      <c r="G680" s="12">
        <f t="shared" si="150"/>
        <v>0</v>
      </c>
      <c r="H680" s="12">
        <f t="shared" si="151"/>
        <v>0</v>
      </c>
      <c r="I680" s="12">
        <f t="shared" si="149"/>
        <v>0</v>
      </c>
      <c r="J680" s="51">
        <v>400</v>
      </c>
      <c r="K680" s="51">
        <f t="shared" si="152"/>
        <v>41</v>
      </c>
      <c r="L680" s="12">
        <f t="shared" si="153"/>
        <v>0</v>
      </c>
      <c r="M680" s="11"/>
    </row>
    <row r="681" spans="2:13" ht="27" customHeight="1">
      <c r="B681" s="88"/>
      <c r="C681" s="10" t="s">
        <v>20</v>
      </c>
      <c r="D681" s="11" t="s">
        <v>691</v>
      </c>
      <c r="E681" s="12">
        <v>441</v>
      </c>
      <c r="F681" s="12"/>
      <c r="G681" s="12">
        <f t="shared" si="150"/>
        <v>0</v>
      </c>
      <c r="H681" s="12">
        <f t="shared" si="151"/>
        <v>0</v>
      </c>
      <c r="I681" s="12">
        <f t="shared" si="149"/>
        <v>0</v>
      </c>
      <c r="J681" s="51">
        <v>390</v>
      </c>
      <c r="K681" s="51">
        <f t="shared" si="152"/>
        <v>51</v>
      </c>
      <c r="L681" s="12">
        <f t="shared" si="153"/>
        <v>0</v>
      </c>
      <c r="M681" s="11"/>
    </row>
    <row r="682" spans="2:13" ht="27" customHeight="1">
      <c r="B682" s="88"/>
      <c r="C682" s="10" t="s">
        <v>14</v>
      </c>
      <c r="D682" s="11" t="s">
        <v>692</v>
      </c>
      <c r="E682" s="12">
        <v>8600</v>
      </c>
      <c r="F682" s="12"/>
      <c r="G682" s="12">
        <f t="shared" si="150"/>
        <v>0</v>
      </c>
      <c r="H682" s="12">
        <f t="shared" si="151"/>
        <v>0</v>
      </c>
      <c r="I682" s="12">
        <f t="shared" si="149"/>
        <v>0</v>
      </c>
      <c r="J682" s="51">
        <v>8427</v>
      </c>
      <c r="K682" s="51">
        <f t="shared" si="152"/>
        <v>173</v>
      </c>
      <c r="L682" s="12">
        <f t="shared" si="153"/>
        <v>0</v>
      </c>
      <c r="M682" s="11"/>
    </row>
    <row r="683" spans="2:13" ht="27" customHeight="1">
      <c r="B683" s="88"/>
      <c r="C683" s="10" t="s">
        <v>17</v>
      </c>
      <c r="D683" s="11" t="s">
        <v>693</v>
      </c>
      <c r="E683" s="12">
        <v>7700</v>
      </c>
      <c r="F683" s="12"/>
      <c r="G683" s="12">
        <f t="shared" si="150"/>
        <v>0</v>
      </c>
      <c r="H683" s="12">
        <f t="shared" si="151"/>
        <v>0</v>
      </c>
      <c r="I683" s="12">
        <f t="shared" si="149"/>
        <v>0</v>
      </c>
      <c r="J683" s="51">
        <v>7587</v>
      </c>
      <c r="K683" s="51">
        <f t="shared" si="152"/>
        <v>113</v>
      </c>
      <c r="L683" s="12">
        <f t="shared" si="153"/>
        <v>0</v>
      </c>
      <c r="M683" s="11"/>
    </row>
    <row r="684" spans="2:13" ht="27" customHeight="1">
      <c r="B684" s="88"/>
      <c r="C684" s="10" t="s">
        <v>14</v>
      </c>
      <c r="D684" s="11" t="s">
        <v>317</v>
      </c>
      <c r="E684" s="12">
        <v>22200</v>
      </c>
      <c r="F684" s="12"/>
      <c r="G684" s="12">
        <f t="shared" si="150"/>
        <v>0</v>
      </c>
      <c r="H684" s="12">
        <f t="shared" si="151"/>
        <v>0</v>
      </c>
      <c r="I684" s="12">
        <f t="shared" si="149"/>
        <v>0</v>
      </c>
      <c r="J684" s="12">
        <v>22200</v>
      </c>
      <c r="K684" s="51">
        <f t="shared" si="152"/>
        <v>0</v>
      </c>
      <c r="L684" s="12">
        <f t="shared" si="153"/>
        <v>0</v>
      </c>
      <c r="M684" s="11"/>
    </row>
    <row r="685" spans="2:13" ht="27" customHeight="1">
      <c r="B685" s="88"/>
      <c r="C685" s="10" t="s">
        <v>23</v>
      </c>
      <c r="D685" s="11" t="s">
        <v>694</v>
      </c>
      <c r="E685" s="12">
        <v>320</v>
      </c>
      <c r="F685" s="12"/>
      <c r="G685" s="12">
        <f t="shared" si="150"/>
        <v>0</v>
      </c>
      <c r="H685" s="12">
        <f t="shared" si="151"/>
        <v>0</v>
      </c>
      <c r="I685" s="12">
        <f t="shared" si="149"/>
        <v>0</v>
      </c>
      <c r="J685" s="51">
        <v>288</v>
      </c>
      <c r="K685" s="51">
        <f t="shared" si="152"/>
        <v>32</v>
      </c>
      <c r="L685" s="12"/>
      <c r="M685" s="11"/>
    </row>
    <row r="686" spans="2:13" ht="27" customHeight="1">
      <c r="B686" s="88"/>
      <c r="C686" s="10" t="s">
        <v>99</v>
      </c>
      <c r="D686" s="11" t="s">
        <v>151</v>
      </c>
      <c r="E686" s="12">
        <v>1</v>
      </c>
      <c r="F686" s="12"/>
      <c r="G686" s="12">
        <f t="shared" si="150"/>
        <v>0</v>
      </c>
      <c r="H686" s="12">
        <f t="shared" si="151"/>
        <v>0</v>
      </c>
      <c r="I686" s="12">
        <f t="shared" si="149"/>
        <v>0</v>
      </c>
      <c r="J686" s="51"/>
      <c r="K686" s="51"/>
      <c r="L686" s="12"/>
      <c r="M686" s="11"/>
    </row>
    <row r="687" spans="2:13" ht="27" customHeight="1">
      <c r="B687" s="88"/>
      <c r="C687" s="18"/>
      <c r="D687" s="19" t="s">
        <v>156</v>
      </c>
      <c r="E687" s="20"/>
      <c r="F687" s="20">
        <f>SUM(F673:F685)</f>
        <v>0</v>
      </c>
      <c r="G687" s="20">
        <f>SUM(G673:G685)</f>
        <v>0</v>
      </c>
      <c r="H687" s="20">
        <f>SUM(H673:H685)</f>
        <v>0</v>
      </c>
      <c r="I687" s="20">
        <f>SUM(I673:I685)</f>
        <v>0</v>
      </c>
      <c r="J687" s="20"/>
      <c r="K687" s="20"/>
      <c r="L687" s="20">
        <f>SUM(L673:L685)</f>
        <v>0</v>
      </c>
      <c r="M687" s="81" t="e">
        <f>L687/G687</f>
        <v>#DIV/0!</v>
      </c>
    </row>
    <row r="688" spans="2:13" ht="27" customHeight="1">
      <c r="B688" s="91"/>
      <c r="C688" s="18"/>
      <c r="D688" s="92" t="s">
        <v>695</v>
      </c>
      <c r="E688" s="93"/>
      <c r="F688" s="93"/>
      <c r="G688" s="93"/>
      <c r="H688" s="93"/>
      <c r="I688" s="93"/>
      <c r="J688" s="93"/>
      <c r="K688" s="93"/>
      <c r="L688" s="93"/>
      <c r="M688" s="94"/>
    </row>
    <row r="689" spans="2:13" ht="27" customHeight="1">
      <c r="B689" s="27" t="s">
        <v>696</v>
      </c>
      <c r="C689" s="10" t="s">
        <v>45</v>
      </c>
      <c r="D689" s="11" t="s">
        <v>697</v>
      </c>
      <c r="E689" s="12">
        <v>6000</v>
      </c>
      <c r="F689" s="12"/>
      <c r="G689" s="12">
        <f t="shared" ref="G689:G694" si="154">E689*F689</f>
        <v>0</v>
      </c>
      <c r="H689" s="12">
        <f t="shared" ref="H689:H694" si="155">G689/10</f>
        <v>0</v>
      </c>
      <c r="I689" s="12">
        <f t="shared" ref="I689:I753" si="156">G689+H689</f>
        <v>0</v>
      </c>
      <c r="J689" s="12">
        <v>4400</v>
      </c>
      <c r="K689" s="12">
        <f t="shared" ref="K689:K694" si="157">E689-J689</f>
        <v>1600</v>
      </c>
      <c r="L689" s="11">
        <f t="shared" ref="L689:L694" si="158">F689*K689</f>
        <v>0</v>
      </c>
      <c r="M689" s="11" t="s">
        <v>562</v>
      </c>
    </row>
    <row r="690" spans="2:13" ht="27" customHeight="1">
      <c r="B690" s="30"/>
      <c r="C690" s="10" t="s">
        <v>45</v>
      </c>
      <c r="D690" s="11" t="s">
        <v>697</v>
      </c>
      <c r="E690" s="12">
        <v>6000</v>
      </c>
      <c r="F690" s="12"/>
      <c r="G690" s="12">
        <f t="shared" si="154"/>
        <v>0</v>
      </c>
      <c r="H690" s="12">
        <f t="shared" si="155"/>
        <v>0</v>
      </c>
      <c r="I690" s="12">
        <f t="shared" si="156"/>
        <v>0</v>
      </c>
      <c r="J690" s="12">
        <v>4400</v>
      </c>
      <c r="K690" s="12">
        <f t="shared" si="157"/>
        <v>1600</v>
      </c>
      <c r="L690" s="11">
        <f t="shared" si="158"/>
        <v>0</v>
      </c>
      <c r="M690" s="11" t="s">
        <v>698</v>
      </c>
    </row>
    <row r="691" spans="2:13" ht="27" customHeight="1">
      <c r="B691" s="30"/>
      <c r="C691" s="10" t="s">
        <v>45</v>
      </c>
      <c r="D691" s="11" t="s">
        <v>699</v>
      </c>
      <c r="E691" s="12">
        <v>1450</v>
      </c>
      <c r="F691" s="12"/>
      <c r="G691" s="12">
        <f t="shared" si="154"/>
        <v>0</v>
      </c>
      <c r="H691" s="12">
        <f t="shared" si="155"/>
        <v>0</v>
      </c>
      <c r="I691" s="12">
        <f t="shared" si="156"/>
        <v>0</v>
      </c>
      <c r="J691" s="12">
        <v>1030</v>
      </c>
      <c r="K691" s="12">
        <f t="shared" si="157"/>
        <v>420</v>
      </c>
      <c r="L691" s="11">
        <f t="shared" si="158"/>
        <v>0</v>
      </c>
      <c r="M691" s="11"/>
    </row>
    <row r="692" spans="2:13" ht="27" customHeight="1">
      <c r="B692" s="30"/>
      <c r="C692" s="10" t="s">
        <v>45</v>
      </c>
      <c r="D692" s="11" t="s">
        <v>700</v>
      </c>
      <c r="E692" s="12">
        <v>1300</v>
      </c>
      <c r="F692" s="12"/>
      <c r="G692" s="12">
        <f t="shared" si="154"/>
        <v>0</v>
      </c>
      <c r="H692" s="12">
        <f t="shared" si="155"/>
        <v>0</v>
      </c>
      <c r="I692" s="12">
        <f t="shared" si="156"/>
        <v>0</v>
      </c>
      <c r="J692" s="12">
        <v>1000</v>
      </c>
      <c r="K692" s="12">
        <f t="shared" si="157"/>
        <v>300</v>
      </c>
      <c r="L692" s="11">
        <f t="shared" si="158"/>
        <v>0</v>
      </c>
      <c r="M692" s="11"/>
    </row>
    <row r="693" spans="2:13" ht="27" customHeight="1">
      <c r="B693" s="30"/>
      <c r="C693" s="10" t="s">
        <v>45</v>
      </c>
      <c r="D693" s="11" t="s">
        <v>701</v>
      </c>
      <c r="E693" s="12">
        <v>1800</v>
      </c>
      <c r="F693" s="12"/>
      <c r="G693" s="12">
        <f t="shared" si="154"/>
        <v>0</v>
      </c>
      <c r="H693" s="12">
        <f t="shared" si="155"/>
        <v>0</v>
      </c>
      <c r="I693" s="12">
        <f t="shared" si="156"/>
        <v>0</v>
      </c>
      <c r="J693" s="12">
        <v>1350</v>
      </c>
      <c r="K693" s="12">
        <f t="shared" si="157"/>
        <v>450</v>
      </c>
      <c r="L693" s="11">
        <f t="shared" si="158"/>
        <v>0</v>
      </c>
      <c r="M693" s="11"/>
    </row>
    <row r="694" spans="2:13" ht="27" customHeight="1">
      <c r="B694" s="30"/>
      <c r="C694" s="10" t="s">
        <v>45</v>
      </c>
      <c r="D694" s="11" t="s">
        <v>670</v>
      </c>
      <c r="E694" s="12">
        <v>5000</v>
      </c>
      <c r="F694" s="12"/>
      <c r="G694" s="12">
        <f t="shared" si="154"/>
        <v>0</v>
      </c>
      <c r="H694" s="12">
        <f t="shared" si="155"/>
        <v>0</v>
      </c>
      <c r="I694" s="12">
        <f t="shared" si="156"/>
        <v>0</v>
      </c>
      <c r="J694" s="12">
        <v>3800</v>
      </c>
      <c r="K694" s="12">
        <f t="shared" si="157"/>
        <v>1200</v>
      </c>
      <c r="L694" s="11">
        <f t="shared" si="158"/>
        <v>0</v>
      </c>
      <c r="M694" s="11"/>
    </row>
    <row r="695" spans="2:13" ht="27" customHeight="1">
      <c r="B695" s="38"/>
      <c r="C695" s="18"/>
      <c r="D695" s="19" t="s">
        <v>405</v>
      </c>
      <c r="E695" s="20"/>
      <c r="F695" s="20"/>
      <c r="G695" s="20">
        <f>SUM(G689:G694)</f>
        <v>0</v>
      </c>
      <c r="H695" s="20">
        <f>SUM(H689:H694)</f>
        <v>0</v>
      </c>
      <c r="I695" s="20">
        <f t="shared" si="156"/>
        <v>0</v>
      </c>
      <c r="J695" s="20"/>
      <c r="K695" s="20"/>
      <c r="L695" s="20">
        <f>SUM(L689:L694)</f>
        <v>0</v>
      </c>
      <c r="M695" s="19"/>
    </row>
    <row r="696" spans="2:13" ht="27" customHeight="1">
      <c r="B696" s="9" t="s">
        <v>702</v>
      </c>
      <c r="C696" s="10" t="s">
        <v>23</v>
      </c>
      <c r="D696" s="11" t="s">
        <v>703</v>
      </c>
      <c r="E696" s="12">
        <v>350</v>
      </c>
      <c r="F696" s="12"/>
      <c r="G696" s="12">
        <f>E696*F696</f>
        <v>0</v>
      </c>
      <c r="H696" s="12">
        <f>G696/10</f>
        <v>0</v>
      </c>
      <c r="I696" s="12">
        <f t="shared" si="156"/>
        <v>0</v>
      </c>
      <c r="J696" s="12">
        <v>300</v>
      </c>
      <c r="K696" s="12">
        <v>300</v>
      </c>
      <c r="L696" s="11">
        <f>F696*K696</f>
        <v>0</v>
      </c>
      <c r="M696" s="11"/>
    </row>
    <row r="697" spans="2:13" ht="27" customHeight="1">
      <c r="B697" s="13"/>
      <c r="C697" s="10" t="s">
        <v>99</v>
      </c>
      <c r="D697" s="11" t="s">
        <v>578</v>
      </c>
      <c r="E697" s="12">
        <v>105000</v>
      </c>
      <c r="F697" s="12"/>
      <c r="G697" s="12">
        <f>E697*F697</f>
        <v>0</v>
      </c>
      <c r="H697" s="12">
        <f>G697/10</f>
        <v>0</v>
      </c>
      <c r="I697" s="12">
        <f t="shared" si="156"/>
        <v>0</v>
      </c>
      <c r="J697" s="12"/>
      <c r="K697" s="12">
        <f>E697-J697</f>
        <v>105000</v>
      </c>
      <c r="L697" s="11">
        <f>F697*K697</f>
        <v>0</v>
      </c>
      <c r="M697" s="11"/>
    </row>
    <row r="698" spans="2:13" ht="27" customHeight="1">
      <c r="B698" s="13"/>
      <c r="C698" s="10"/>
      <c r="D698" s="11"/>
      <c r="E698" s="12"/>
      <c r="F698" s="12"/>
      <c r="G698" s="12">
        <f>E698*F698</f>
        <v>0</v>
      </c>
      <c r="H698" s="12">
        <f>G698/10</f>
        <v>0</v>
      </c>
      <c r="I698" s="12">
        <f t="shared" si="156"/>
        <v>0</v>
      </c>
      <c r="J698" s="12"/>
      <c r="K698" s="12">
        <f>E698-J698</f>
        <v>0</v>
      </c>
      <c r="L698" s="11">
        <f>F698*K698</f>
        <v>0</v>
      </c>
      <c r="M698" s="11"/>
    </row>
    <row r="699" spans="2:13" ht="27" customHeight="1">
      <c r="B699" s="17"/>
      <c r="C699" s="18"/>
      <c r="D699" s="19" t="s">
        <v>405</v>
      </c>
      <c r="E699" s="20"/>
      <c r="F699" s="20"/>
      <c r="G699" s="20">
        <f>SUM(G696:G698)</f>
        <v>0</v>
      </c>
      <c r="H699" s="20">
        <f>SUM(H696:H698)</f>
        <v>0</v>
      </c>
      <c r="I699" s="20">
        <f t="shared" si="156"/>
        <v>0</v>
      </c>
      <c r="J699" s="20"/>
      <c r="K699" s="20"/>
      <c r="L699" s="20">
        <f>SUM(L696:L698)</f>
        <v>0</v>
      </c>
      <c r="M699" s="19"/>
    </row>
    <row r="700" spans="2:13" ht="27" customHeight="1">
      <c r="B700" s="9" t="s">
        <v>704</v>
      </c>
      <c r="C700" s="10" t="s">
        <v>14</v>
      </c>
      <c r="D700" s="11" t="s">
        <v>705</v>
      </c>
      <c r="E700" s="12">
        <v>11000</v>
      </c>
      <c r="F700" s="12"/>
      <c r="G700" s="12">
        <f>E700*F700</f>
        <v>0</v>
      </c>
      <c r="H700" s="12">
        <f>G700/10</f>
        <v>0</v>
      </c>
      <c r="I700" s="12">
        <f t="shared" si="156"/>
        <v>0</v>
      </c>
      <c r="J700" s="12">
        <v>7280</v>
      </c>
      <c r="K700" s="12">
        <f>E700-J700</f>
        <v>3720</v>
      </c>
      <c r="L700" s="11">
        <f>F700*K700</f>
        <v>0</v>
      </c>
      <c r="M700" s="11"/>
    </row>
    <row r="701" spans="2:13" ht="27" customHeight="1">
      <c r="B701" s="13"/>
      <c r="C701" s="10"/>
      <c r="D701" s="11"/>
      <c r="E701" s="12"/>
      <c r="F701" s="12"/>
      <c r="G701" s="12">
        <f>E701*F701</f>
        <v>0</v>
      </c>
      <c r="H701" s="12">
        <f>G701/10</f>
        <v>0</v>
      </c>
      <c r="I701" s="12">
        <f t="shared" si="156"/>
        <v>0</v>
      </c>
      <c r="J701" s="12"/>
      <c r="K701" s="12">
        <f>E701-J701</f>
        <v>0</v>
      </c>
      <c r="L701" s="11">
        <f>F701*K701</f>
        <v>0</v>
      </c>
      <c r="M701" s="11"/>
    </row>
    <row r="702" spans="2:13" ht="27" customHeight="1">
      <c r="B702" s="13"/>
      <c r="C702" s="10"/>
      <c r="D702" s="11"/>
      <c r="E702" s="12"/>
      <c r="F702" s="12"/>
      <c r="G702" s="12">
        <f>E702*F702</f>
        <v>0</v>
      </c>
      <c r="H702" s="12">
        <f>G702/10</f>
        <v>0</v>
      </c>
      <c r="I702" s="12">
        <f t="shared" si="156"/>
        <v>0</v>
      </c>
      <c r="J702" s="12"/>
      <c r="K702" s="12">
        <f>E702-J702</f>
        <v>0</v>
      </c>
      <c r="L702" s="11">
        <f>F702*K702</f>
        <v>0</v>
      </c>
      <c r="M702" s="11"/>
    </row>
    <row r="703" spans="2:13" ht="27" customHeight="1">
      <c r="B703" s="17"/>
      <c r="C703" s="18"/>
      <c r="D703" s="19" t="s">
        <v>405</v>
      </c>
      <c r="E703" s="20"/>
      <c r="F703" s="20"/>
      <c r="G703" s="20">
        <f>SUM(G700:G702)</f>
        <v>0</v>
      </c>
      <c r="H703" s="20">
        <f>SUM(H700:H702)</f>
        <v>0</v>
      </c>
      <c r="I703" s="20">
        <f t="shared" si="156"/>
        <v>0</v>
      </c>
      <c r="J703" s="20"/>
      <c r="K703" s="20"/>
      <c r="L703" s="20">
        <f>SUM(L700:L702)</f>
        <v>0</v>
      </c>
      <c r="M703" s="19"/>
    </row>
    <row r="704" spans="2:13" ht="27" customHeight="1">
      <c r="B704" s="82" t="s">
        <v>706</v>
      </c>
      <c r="C704" s="10" t="s">
        <v>20</v>
      </c>
      <c r="D704" s="11" t="s">
        <v>707</v>
      </c>
      <c r="E704" s="12">
        <v>1250</v>
      </c>
      <c r="F704" s="12"/>
      <c r="G704" s="12">
        <f t="shared" ref="G704:G713" si="159">E704*F704</f>
        <v>0</v>
      </c>
      <c r="H704" s="12">
        <f t="shared" ref="H704:H713" si="160">G704/10</f>
        <v>0</v>
      </c>
      <c r="I704" s="12">
        <f t="shared" si="156"/>
        <v>0</v>
      </c>
      <c r="J704" s="12">
        <v>1102</v>
      </c>
      <c r="K704" s="12">
        <f t="shared" ref="K704:K713" si="161">E704-J704</f>
        <v>148</v>
      </c>
      <c r="L704" s="11">
        <f t="shared" ref="L704:L713" si="162">F704*K704</f>
        <v>0</v>
      </c>
      <c r="M704" s="11"/>
    </row>
    <row r="705" spans="2:13" ht="27" customHeight="1">
      <c r="B705" s="84"/>
      <c r="C705" s="10" t="s">
        <v>20</v>
      </c>
      <c r="D705" s="11" t="s">
        <v>708</v>
      </c>
      <c r="E705" s="12">
        <v>1240</v>
      </c>
      <c r="F705" s="12"/>
      <c r="G705" s="12">
        <f t="shared" si="159"/>
        <v>0</v>
      </c>
      <c r="H705" s="12">
        <f t="shared" si="160"/>
        <v>0</v>
      </c>
      <c r="I705" s="12">
        <f t="shared" si="156"/>
        <v>0</v>
      </c>
      <c r="J705" s="12">
        <v>1102</v>
      </c>
      <c r="K705" s="12">
        <f t="shared" si="161"/>
        <v>138</v>
      </c>
      <c r="L705" s="11">
        <f t="shared" si="162"/>
        <v>0</v>
      </c>
      <c r="M705" s="11"/>
    </row>
    <row r="706" spans="2:13" ht="27" customHeight="1">
      <c r="B706" s="84"/>
      <c r="C706" s="10" t="s">
        <v>23</v>
      </c>
      <c r="D706" s="11" t="s">
        <v>709</v>
      </c>
      <c r="E706" s="12">
        <v>350</v>
      </c>
      <c r="F706" s="12"/>
      <c r="G706" s="12">
        <f t="shared" si="159"/>
        <v>0</v>
      </c>
      <c r="H706" s="12">
        <f t="shared" si="160"/>
        <v>0</v>
      </c>
      <c r="I706" s="12">
        <f t="shared" si="156"/>
        <v>0</v>
      </c>
      <c r="J706" s="12">
        <v>377</v>
      </c>
      <c r="K706" s="12">
        <f t="shared" si="161"/>
        <v>-27</v>
      </c>
      <c r="L706" s="11">
        <f t="shared" si="162"/>
        <v>0</v>
      </c>
      <c r="M706" s="11"/>
    </row>
    <row r="707" spans="2:13" ht="27" customHeight="1">
      <c r="B707" s="84"/>
      <c r="C707" s="10" t="s">
        <v>23</v>
      </c>
      <c r="D707" s="11" t="s">
        <v>710</v>
      </c>
      <c r="E707" s="12">
        <v>400</v>
      </c>
      <c r="F707" s="12"/>
      <c r="G707" s="12">
        <f t="shared" si="159"/>
        <v>0</v>
      </c>
      <c r="H707" s="12">
        <f t="shared" si="160"/>
        <v>0</v>
      </c>
      <c r="I707" s="12">
        <f t="shared" si="156"/>
        <v>0</v>
      </c>
      <c r="J707" s="12">
        <v>365</v>
      </c>
      <c r="K707" s="12">
        <f t="shared" si="161"/>
        <v>35</v>
      </c>
      <c r="L707" s="11">
        <f t="shared" si="162"/>
        <v>0</v>
      </c>
      <c r="M707" s="11" t="s">
        <v>711</v>
      </c>
    </row>
    <row r="708" spans="2:13" ht="27" customHeight="1">
      <c r="B708" s="84"/>
      <c r="C708" s="10" t="s">
        <v>23</v>
      </c>
      <c r="D708" s="11" t="s">
        <v>712</v>
      </c>
      <c r="E708" s="12">
        <v>390</v>
      </c>
      <c r="F708" s="12"/>
      <c r="G708" s="12">
        <f t="shared" si="159"/>
        <v>0</v>
      </c>
      <c r="H708" s="12">
        <f t="shared" si="160"/>
        <v>0</v>
      </c>
      <c r="I708" s="12">
        <f t="shared" si="156"/>
        <v>0</v>
      </c>
      <c r="J708" s="12">
        <v>365</v>
      </c>
      <c r="K708" s="12">
        <f t="shared" si="161"/>
        <v>25</v>
      </c>
      <c r="L708" s="11">
        <f t="shared" si="162"/>
        <v>0</v>
      </c>
      <c r="M708" s="11"/>
    </row>
    <row r="709" spans="2:13" ht="27" customHeight="1">
      <c r="B709" s="84"/>
      <c r="C709" s="10" t="s">
        <v>20</v>
      </c>
      <c r="D709" s="11" t="s">
        <v>713</v>
      </c>
      <c r="E709" s="12">
        <v>1250</v>
      </c>
      <c r="F709" s="12"/>
      <c r="G709" s="12">
        <f t="shared" si="159"/>
        <v>0</v>
      </c>
      <c r="H709" s="12">
        <f t="shared" si="160"/>
        <v>0</v>
      </c>
      <c r="I709" s="12">
        <f t="shared" si="156"/>
        <v>0</v>
      </c>
      <c r="J709" s="12">
        <v>1102</v>
      </c>
      <c r="K709" s="12">
        <f t="shared" si="161"/>
        <v>148</v>
      </c>
      <c r="L709" s="11">
        <f t="shared" si="162"/>
        <v>0</v>
      </c>
      <c r="M709" s="11"/>
    </row>
    <row r="710" spans="2:13" ht="27" customHeight="1">
      <c r="B710" s="84"/>
      <c r="C710" s="10" t="s">
        <v>23</v>
      </c>
      <c r="D710" s="11" t="s">
        <v>714</v>
      </c>
      <c r="E710" s="12">
        <v>870</v>
      </c>
      <c r="F710" s="12"/>
      <c r="G710" s="12">
        <f t="shared" si="159"/>
        <v>0</v>
      </c>
      <c r="H710" s="12">
        <f t="shared" si="160"/>
        <v>0</v>
      </c>
      <c r="I710" s="12">
        <f t="shared" si="156"/>
        <v>0</v>
      </c>
      <c r="J710" s="12">
        <v>835</v>
      </c>
      <c r="K710" s="12">
        <f t="shared" si="161"/>
        <v>35</v>
      </c>
      <c r="L710" s="11">
        <f t="shared" si="162"/>
        <v>0</v>
      </c>
      <c r="M710" s="11"/>
    </row>
    <row r="711" spans="2:13" ht="27" customHeight="1">
      <c r="B711" s="84"/>
      <c r="C711" s="10" t="s">
        <v>23</v>
      </c>
      <c r="D711" s="11" t="s">
        <v>715</v>
      </c>
      <c r="E711" s="12">
        <v>870</v>
      </c>
      <c r="F711" s="12">
        <v>5450</v>
      </c>
      <c r="G711" s="12">
        <f t="shared" si="159"/>
        <v>4741500</v>
      </c>
      <c r="H711" s="12">
        <f t="shared" si="160"/>
        <v>474150</v>
      </c>
      <c r="I711" s="12">
        <f t="shared" si="156"/>
        <v>5215650</v>
      </c>
      <c r="J711" s="12">
        <v>835</v>
      </c>
      <c r="K711" s="12">
        <f t="shared" si="161"/>
        <v>35</v>
      </c>
      <c r="L711" s="11">
        <f t="shared" si="162"/>
        <v>190750</v>
      </c>
      <c r="M711" s="11"/>
    </row>
    <row r="712" spans="2:13" ht="27" customHeight="1">
      <c r="B712" s="84"/>
      <c r="C712" s="10" t="s">
        <v>23</v>
      </c>
      <c r="D712" s="11" t="s">
        <v>716</v>
      </c>
      <c r="E712" s="12">
        <v>350</v>
      </c>
      <c r="F712" s="12"/>
      <c r="G712" s="12">
        <f t="shared" si="159"/>
        <v>0</v>
      </c>
      <c r="H712" s="12">
        <f t="shared" si="160"/>
        <v>0</v>
      </c>
      <c r="I712" s="12">
        <f t="shared" si="156"/>
        <v>0</v>
      </c>
      <c r="J712" s="12">
        <v>377</v>
      </c>
      <c r="K712" s="12">
        <f t="shared" si="161"/>
        <v>-27</v>
      </c>
      <c r="L712" s="11">
        <f t="shared" si="162"/>
        <v>0</v>
      </c>
      <c r="M712" s="11"/>
    </row>
    <row r="713" spans="2:13" ht="27" customHeight="1">
      <c r="B713" s="84"/>
      <c r="C713" s="10" t="s">
        <v>99</v>
      </c>
      <c r="D713" s="11" t="s">
        <v>578</v>
      </c>
      <c r="E713" s="12">
        <v>450000</v>
      </c>
      <c r="F713" s="12"/>
      <c r="G713" s="12">
        <f t="shared" si="159"/>
        <v>0</v>
      </c>
      <c r="H713" s="12">
        <f t="shared" si="160"/>
        <v>0</v>
      </c>
      <c r="I713" s="12">
        <f t="shared" si="156"/>
        <v>0</v>
      </c>
      <c r="J713" s="12"/>
      <c r="K713" s="12">
        <f t="shared" si="161"/>
        <v>450000</v>
      </c>
      <c r="L713" s="11">
        <f t="shared" si="162"/>
        <v>0</v>
      </c>
      <c r="M713" s="11"/>
    </row>
    <row r="714" spans="2:13" ht="27" customHeight="1">
      <c r="B714" s="86"/>
      <c r="C714" s="18"/>
      <c r="D714" s="19" t="s">
        <v>405</v>
      </c>
      <c r="E714" s="20"/>
      <c r="F714" s="20"/>
      <c r="G714" s="20">
        <f>SUM(G704:G713)</f>
        <v>4741500</v>
      </c>
      <c r="H714" s="20">
        <f>SUM(H704:H713)</f>
        <v>474150</v>
      </c>
      <c r="I714" s="20">
        <f t="shared" si="156"/>
        <v>5215650</v>
      </c>
      <c r="J714" s="20"/>
      <c r="K714" s="20"/>
      <c r="L714" s="20">
        <f>SUM(L704:L713)</f>
        <v>190750</v>
      </c>
      <c r="M714" s="19"/>
    </row>
    <row r="715" spans="2:13" ht="27" customHeight="1">
      <c r="B715" s="27" t="s">
        <v>717</v>
      </c>
      <c r="C715" s="10" t="s">
        <v>23</v>
      </c>
      <c r="D715" s="11" t="s">
        <v>718</v>
      </c>
      <c r="E715" s="12">
        <v>480</v>
      </c>
      <c r="F715" s="12"/>
      <c r="G715" s="12">
        <f t="shared" ref="G715:G726" si="163">E715*F715</f>
        <v>0</v>
      </c>
      <c r="H715" s="12">
        <f t="shared" ref="H715:H726" si="164">G715/10</f>
        <v>0</v>
      </c>
      <c r="I715" s="12">
        <f t="shared" si="156"/>
        <v>0</v>
      </c>
      <c r="J715" s="12">
        <v>390</v>
      </c>
      <c r="K715" s="12">
        <f t="shared" ref="K715:K726" si="165">E715-J715</f>
        <v>90</v>
      </c>
      <c r="L715" s="11">
        <f t="shared" ref="L715:L726" si="166">F715*K715</f>
        <v>0</v>
      </c>
      <c r="M715" s="11"/>
    </row>
    <row r="716" spans="2:13" ht="27" customHeight="1">
      <c r="B716" s="30"/>
      <c r="C716" s="10" t="s">
        <v>23</v>
      </c>
      <c r="D716" s="11" t="s">
        <v>719</v>
      </c>
      <c r="E716" s="12">
        <v>480</v>
      </c>
      <c r="F716" s="12"/>
      <c r="G716" s="12">
        <f t="shared" si="163"/>
        <v>0</v>
      </c>
      <c r="H716" s="12">
        <f t="shared" si="164"/>
        <v>0</v>
      </c>
      <c r="I716" s="12">
        <f t="shared" si="156"/>
        <v>0</v>
      </c>
      <c r="J716" s="12">
        <v>390</v>
      </c>
      <c r="K716" s="12">
        <f t="shared" si="165"/>
        <v>90</v>
      </c>
      <c r="L716" s="11">
        <f t="shared" si="166"/>
        <v>0</v>
      </c>
      <c r="M716" s="11"/>
    </row>
    <row r="717" spans="2:13" ht="27" customHeight="1">
      <c r="B717" s="30"/>
      <c r="C717" s="10" t="s">
        <v>23</v>
      </c>
      <c r="D717" s="11" t="s">
        <v>720</v>
      </c>
      <c r="E717" s="12">
        <v>480</v>
      </c>
      <c r="F717" s="12"/>
      <c r="G717" s="12">
        <f t="shared" si="163"/>
        <v>0</v>
      </c>
      <c r="H717" s="12">
        <f t="shared" si="164"/>
        <v>0</v>
      </c>
      <c r="I717" s="12">
        <f t="shared" si="156"/>
        <v>0</v>
      </c>
      <c r="J717" s="12">
        <v>390</v>
      </c>
      <c r="K717" s="12">
        <f t="shared" si="165"/>
        <v>90</v>
      </c>
      <c r="L717" s="11">
        <f t="shared" si="166"/>
        <v>0</v>
      </c>
      <c r="M717" s="11"/>
    </row>
    <row r="718" spans="2:13" ht="27" customHeight="1">
      <c r="B718" s="30"/>
      <c r="C718" s="10" t="s">
        <v>23</v>
      </c>
      <c r="D718" s="11" t="s">
        <v>721</v>
      </c>
      <c r="E718" s="12">
        <v>480</v>
      </c>
      <c r="F718" s="12"/>
      <c r="G718" s="12">
        <f t="shared" si="163"/>
        <v>0</v>
      </c>
      <c r="H718" s="12">
        <f t="shared" si="164"/>
        <v>0</v>
      </c>
      <c r="I718" s="12">
        <f t="shared" si="156"/>
        <v>0</v>
      </c>
      <c r="J718" s="12">
        <v>390</v>
      </c>
      <c r="K718" s="12">
        <f t="shared" si="165"/>
        <v>90</v>
      </c>
      <c r="L718" s="11">
        <f t="shared" si="166"/>
        <v>0</v>
      </c>
      <c r="M718" s="11"/>
    </row>
    <row r="719" spans="2:13" ht="27" customHeight="1">
      <c r="B719" s="30"/>
      <c r="C719" s="10" t="s">
        <v>23</v>
      </c>
      <c r="D719" s="11" t="s">
        <v>722</v>
      </c>
      <c r="E719" s="12">
        <v>480</v>
      </c>
      <c r="F719" s="12"/>
      <c r="G719" s="12">
        <f t="shared" si="163"/>
        <v>0</v>
      </c>
      <c r="H719" s="12">
        <f t="shared" si="164"/>
        <v>0</v>
      </c>
      <c r="I719" s="12">
        <f t="shared" si="156"/>
        <v>0</v>
      </c>
      <c r="J719" s="12">
        <v>390</v>
      </c>
      <c r="K719" s="12">
        <f t="shared" si="165"/>
        <v>90</v>
      </c>
      <c r="L719" s="11">
        <f t="shared" si="166"/>
        <v>0</v>
      </c>
      <c r="M719" s="11"/>
    </row>
    <row r="720" spans="2:13" ht="27" customHeight="1">
      <c r="B720" s="30"/>
      <c r="C720" s="10" t="s">
        <v>23</v>
      </c>
      <c r="D720" s="11" t="s">
        <v>723</v>
      </c>
      <c r="E720" s="12">
        <v>520</v>
      </c>
      <c r="F720" s="12"/>
      <c r="G720" s="12">
        <f t="shared" si="163"/>
        <v>0</v>
      </c>
      <c r="H720" s="12">
        <f t="shared" si="164"/>
        <v>0</v>
      </c>
      <c r="I720" s="12">
        <f t="shared" si="156"/>
        <v>0</v>
      </c>
      <c r="J720" s="12">
        <v>390</v>
      </c>
      <c r="K720" s="12">
        <f t="shared" si="165"/>
        <v>130</v>
      </c>
      <c r="L720" s="11">
        <f t="shared" si="166"/>
        <v>0</v>
      </c>
      <c r="M720" s="11"/>
    </row>
    <row r="721" spans="2:13" ht="27" customHeight="1">
      <c r="B721" s="30"/>
      <c r="C721" s="10" t="s">
        <v>17</v>
      </c>
      <c r="D721" s="11" t="s">
        <v>724</v>
      </c>
      <c r="E721" s="12">
        <v>6500</v>
      </c>
      <c r="F721" s="12"/>
      <c r="G721" s="12">
        <f t="shared" si="163"/>
        <v>0</v>
      </c>
      <c r="H721" s="12">
        <f t="shared" si="164"/>
        <v>0</v>
      </c>
      <c r="I721" s="12">
        <f t="shared" si="156"/>
        <v>0</v>
      </c>
      <c r="J721" s="12">
        <v>5300</v>
      </c>
      <c r="K721" s="12">
        <f t="shared" si="165"/>
        <v>1200</v>
      </c>
      <c r="L721" s="11">
        <f t="shared" si="166"/>
        <v>0</v>
      </c>
      <c r="M721" s="11"/>
    </row>
    <row r="722" spans="2:13" ht="27" customHeight="1">
      <c r="B722" s="30"/>
      <c r="C722" s="10" t="s">
        <v>23</v>
      </c>
      <c r="D722" s="11" t="s">
        <v>725</v>
      </c>
      <c r="E722" s="12">
        <v>520</v>
      </c>
      <c r="F722" s="12"/>
      <c r="G722" s="12">
        <f t="shared" si="163"/>
        <v>0</v>
      </c>
      <c r="H722" s="12">
        <f t="shared" si="164"/>
        <v>0</v>
      </c>
      <c r="I722" s="12">
        <f t="shared" si="156"/>
        <v>0</v>
      </c>
      <c r="J722" s="12">
        <v>390</v>
      </c>
      <c r="K722" s="12">
        <f t="shared" si="165"/>
        <v>130</v>
      </c>
      <c r="L722" s="11">
        <f t="shared" si="166"/>
        <v>0</v>
      </c>
      <c r="M722" s="11"/>
    </row>
    <row r="723" spans="2:13" ht="27" customHeight="1">
      <c r="B723" s="30"/>
      <c r="C723" s="10" t="s">
        <v>23</v>
      </c>
      <c r="D723" s="11" t="s">
        <v>726</v>
      </c>
      <c r="E723" s="12">
        <v>520</v>
      </c>
      <c r="F723" s="12"/>
      <c r="G723" s="12">
        <f t="shared" si="163"/>
        <v>0</v>
      </c>
      <c r="H723" s="12">
        <f t="shared" si="164"/>
        <v>0</v>
      </c>
      <c r="I723" s="12">
        <f t="shared" si="156"/>
        <v>0</v>
      </c>
      <c r="J723" s="12">
        <v>390</v>
      </c>
      <c r="K723" s="12">
        <f t="shared" si="165"/>
        <v>130</v>
      </c>
      <c r="L723" s="11">
        <f t="shared" si="166"/>
        <v>0</v>
      </c>
      <c r="M723" s="11"/>
    </row>
    <row r="724" spans="2:13" ht="27" customHeight="1">
      <c r="B724" s="30"/>
      <c r="C724" s="10" t="s">
        <v>23</v>
      </c>
      <c r="D724" s="11" t="s">
        <v>727</v>
      </c>
      <c r="E724" s="12">
        <v>520</v>
      </c>
      <c r="F724" s="12"/>
      <c r="G724" s="12">
        <f t="shared" si="163"/>
        <v>0</v>
      </c>
      <c r="H724" s="12">
        <f t="shared" si="164"/>
        <v>0</v>
      </c>
      <c r="I724" s="12">
        <f t="shared" si="156"/>
        <v>0</v>
      </c>
      <c r="J724" s="12">
        <v>390</v>
      </c>
      <c r="K724" s="12">
        <f t="shared" si="165"/>
        <v>130</v>
      </c>
      <c r="L724" s="11">
        <f t="shared" si="166"/>
        <v>0</v>
      </c>
      <c r="M724" s="11"/>
    </row>
    <row r="725" spans="2:13" ht="27" customHeight="1">
      <c r="B725" s="30"/>
      <c r="C725" s="10" t="s">
        <v>99</v>
      </c>
      <c r="D725" s="11" t="s">
        <v>728</v>
      </c>
      <c r="E725" s="12">
        <v>150000</v>
      </c>
      <c r="F725" s="12"/>
      <c r="G725" s="12">
        <f t="shared" si="163"/>
        <v>0</v>
      </c>
      <c r="H725" s="12">
        <f t="shared" si="164"/>
        <v>0</v>
      </c>
      <c r="I725" s="12">
        <f t="shared" si="156"/>
        <v>0</v>
      </c>
      <c r="J725" s="12"/>
      <c r="K725" s="12">
        <f t="shared" si="165"/>
        <v>150000</v>
      </c>
      <c r="L725" s="11">
        <f t="shared" si="166"/>
        <v>0</v>
      </c>
      <c r="M725" s="11"/>
    </row>
    <row r="726" spans="2:13" ht="27" customHeight="1">
      <c r="B726" s="30"/>
      <c r="C726" s="10" t="s">
        <v>99</v>
      </c>
      <c r="D726" s="11" t="s">
        <v>188</v>
      </c>
      <c r="E726" s="12">
        <v>400000</v>
      </c>
      <c r="F726" s="12"/>
      <c r="G726" s="12">
        <f t="shared" si="163"/>
        <v>0</v>
      </c>
      <c r="H726" s="12">
        <f t="shared" si="164"/>
        <v>0</v>
      </c>
      <c r="I726" s="12">
        <f t="shared" si="156"/>
        <v>0</v>
      </c>
      <c r="J726" s="12"/>
      <c r="K726" s="12">
        <f t="shared" si="165"/>
        <v>400000</v>
      </c>
      <c r="L726" s="11">
        <f t="shared" si="166"/>
        <v>0</v>
      </c>
      <c r="M726" s="11"/>
    </row>
    <row r="727" spans="2:13" ht="27" customHeight="1">
      <c r="B727" s="38"/>
      <c r="C727" s="18"/>
      <c r="D727" s="19" t="s">
        <v>405</v>
      </c>
      <c r="E727" s="20"/>
      <c r="F727" s="20"/>
      <c r="G727" s="20">
        <f>SUM(G715:G726)</f>
        <v>0</v>
      </c>
      <c r="H727" s="20">
        <f>SUM(H715:H726)</f>
        <v>0</v>
      </c>
      <c r="I727" s="20">
        <f t="shared" si="156"/>
        <v>0</v>
      </c>
      <c r="J727" s="20"/>
      <c r="K727" s="20"/>
      <c r="L727" s="20">
        <f>SUM(L715:L726)</f>
        <v>0</v>
      </c>
      <c r="M727" s="19"/>
    </row>
    <row r="728" spans="2:13" ht="27" customHeight="1">
      <c r="B728" s="27" t="s">
        <v>729</v>
      </c>
      <c r="C728" s="10" t="s">
        <v>99</v>
      </c>
      <c r="D728" s="11" t="s">
        <v>730</v>
      </c>
      <c r="E728" s="12">
        <v>550000</v>
      </c>
      <c r="F728" s="12"/>
      <c r="G728" s="12">
        <f>E728*F728</f>
        <v>0</v>
      </c>
      <c r="H728" s="12">
        <f>G728/10</f>
        <v>0</v>
      </c>
      <c r="I728" s="12">
        <f t="shared" si="156"/>
        <v>0</v>
      </c>
      <c r="J728" s="12"/>
      <c r="K728" s="12">
        <f>E728-J728</f>
        <v>550000</v>
      </c>
      <c r="L728" s="11">
        <f>F728*K728</f>
        <v>0</v>
      </c>
      <c r="M728" s="11"/>
    </row>
    <row r="729" spans="2:13" ht="27" customHeight="1">
      <c r="B729" s="30"/>
      <c r="C729" s="10"/>
      <c r="D729" s="11"/>
      <c r="E729" s="12"/>
      <c r="F729" s="12"/>
      <c r="G729" s="12">
        <f>E729*F729</f>
        <v>0</v>
      </c>
      <c r="H729" s="12">
        <f>G729/10</f>
        <v>0</v>
      </c>
      <c r="I729" s="12">
        <f t="shared" si="156"/>
        <v>0</v>
      </c>
      <c r="J729" s="12"/>
      <c r="K729" s="12">
        <f>E729-J729</f>
        <v>0</v>
      </c>
      <c r="L729" s="11">
        <f>F729*K729</f>
        <v>0</v>
      </c>
      <c r="M729" s="11"/>
    </row>
    <row r="730" spans="2:13" ht="27" customHeight="1">
      <c r="B730" s="30"/>
      <c r="C730" s="10"/>
      <c r="D730" s="11"/>
      <c r="E730" s="12"/>
      <c r="F730" s="12"/>
      <c r="G730" s="12">
        <f>E730*F730</f>
        <v>0</v>
      </c>
      <c r="H730" s="12">
        <f>G730/10</f>
        <v>0</v>
      </c>
      <c r="I730" s="12">
        <f t="shared" si="156"/>
        <v>0</v>
      </c>
      <c r="J730" s="12"/>
      <c r="K730" s="12">
        <f>E730-J730</f>
        <v>0</v>
      </c>
      <c r="L730" s="11">
        <f>F730*K730</f>
        <v>0</v>
      </c>
      <c r="M730" s="11"/>
    </row>
    <row r="731" spans="2:13" ht="27" customHeight="1">
      <c r="B731" s="38"/>
      <c r="C731" s="18"/>
      <c r="D731" s="19" t="s">
        <v>405</v>
      </c>
      <c r="E731" s="20"/>
      <c r="F731" s="20"/>
      <c r="G731" s="20">
        <f>SUM(G728:G730)</f>
        <v>0</v>
      </c>
      <c r="H731" s="20">
        <f>SUM(H728:H730)</f>
        <v>0</v>
      </c>
      <c r="I731" s="20">
        <f t="shared" si="156"/>
        <v>0</v>
      </c>
      <c r="J731" s="20"/>
      <c r="K731" s="20"/>
      <c r="L731" s="20">
        <f>SUM(L728:L730)</f>
        <v>0</v>
      </c>
      <c r="M731" s="19"/>
    </row>
    <row r="732" spans="2:13" ht="27" customHeight="1">
      <c r="B732" s="27" t="s">
        <v>731</v>
      </c>
      <c r="C732" s="10" t="s">
        <v>23</v>
      </c>
      <c r="D732" s="11" t="s">
        <v>732</v>
      </c>
      <c r="E732" s="12">
        <v>500</v>
      </c>
      <c r="F732" s="12"/>
      <c r="G732" s="12">
        <f>E732*F732</f>
        <v>0</v>
      </c>
      <c r="H732" s="12">
        <f>G732/10</f>
        <v>0</v>
      </c>
      <c r="I732" s="12">
        <f t="shared" si="156"/>
        <v>0</v>
      </c>
      <c r="J732" s="12">
        <v>340</v>
      </c>
      <c r="K732" s="12">
        <f>E732-J732</f>
        <v>160</v>
      </c>
      <c r="L732" s="11">
        <f>F732*K732</f>
        <v>0</v>
      </c>
      <c r="M732" s="11"/>
    </row>
    <row r="733" spans="2:13" ht="27" customHeight="1">
      <c r="B733" s="30"/>
      <c r="C733" s="10" t="s">
        <v>23</v>
      </c>
      <c r="D733" s="11" t="s">
        <v>733</v>
      </c>
      <c r="E733" s="12">
        <v>600</v>
      </c>
      <c r="F733" s="12"/>
      <c r="G733" s="12">
        <f>E733*F733</f>
        <v>0</v>
      </c>
      <c r="H733" s="12">
        <f>G733/10</f>
        <v>0</v>
      </c>
      <c r="I733" s="12">
        <f t="shared" si="156"/>
        <v>0</v>
      </c>
      <c r="J733" s="12"/>
      <c r="K733" s="12">
        <f>E733-J733</f>
        <v>600</v>
      </c>
      <c r="L733" s="11">
        <f>F733*K733</f>
        <v>0</v>
      </c>
      <c r="M733" s="11"/>
    </row>
    <row r="734" spans="2:13" ht="27" customHeight="1">
      <c r="B734" s="30"/>
      <c r="C734" s="10" t="s">
        <v>99</v>
      </c>
      <c r="D734" s="11" t="s">
        <v>188</v>
      </c>
      <c r="E734" s="12">
        <v>200000</v>
      </c>
      <c r="F734" s="12"/>
      <c r="G734" s="12">
        <f>E734*F734</f>
        <v>0</v>
      </c>
      <c r="H734" s="12">
        <f>G734/10</f>
        <v>0</v>
      </c>
      <c r="I734" s="12">
        <f t="shared" si="156"/>
        <v>0</v>
      </c>
      <c r="J734" s="12"/>
      <c r="K734" s="12">
        <f>E734-J734</f>
        <v>200000</v>
      </c>
      <c r="L734" s="11">
        <f>F734*K734</f>
        <v>0</v>
      </c>
      <c r="M734" s="11"/>
    </row>
    <row r="735" spans="2:13" ht="27" customHeight="1">
      <c r="B735" s="38"/>
      <c r="C735" s="18"/>
      <c r="D735" s="19" t="s">
        <v>405</v>
      </c>
      <c r="E735" s="20"/>
      <c r="F735" s="20"/>
      <c r="G735" s="20">
        <f>SUM(G732:G734)</f>
        <v>0</v>
      </c>
      <c r="H735" s="20">
        <f>SUM(H732:H734)</f>
        <v>0</v>
      </c>
      <c r="I735" s="20">
        <f t="shared" si="156"/>
        <v>0</v>
      </c>
      <c r="J735" s="20"/>
      <c r="K735" s="20"/>
      <c r="L735" s="20">
        <f>SUM(L732:L734)</f>
        <v>0</v>
      </c>
      <c r="M735" s="19"/>
    </row>
    <row r="736" spans="2:13" ht="27" customHeight="1">
      <c r="B736" s="27" t="s">
        <v>734</v>
      </c>
      <c r="C736" s="10" t="s">
        <v>17</v>
      </c>
      <c r="D736" s="11" t="s">
        <v>86</v>
      </c>
      <c r="E736" s="12">
        <v>8400</v>
      </c>
      <c r="F736" s="12"/>
      <c r="G736" s="12">
        <f>E736*F736</f>
        <v>0</v>
      </c>
      <c r="H736" s="12">
        <f>G736/10</f>
        <v>0</v>
      </c>
      <c r="I736" s="12">
        <f t="shared" si="156"/>
        <v>0</v>
      </c>
      <c r="J736" s="12">
        <v>6802</v>
      </c>
      <c r="K736" s="12">
        <f>E736-J736</f>
        <v>1598</v>
      </c>
      <c r="L736" s="11">
        <f>F736*K736</f>
        <v>0</v>
      </c>
      <c r="M736" s="11" t="s">
        <v>735</v>
      </c>
    </row>
    <row r="737" spans="2:13" ht="27" customHeight="1">
      <c r="B737" s="30"/>
      <c r="C737" s="10"/>
      <c r="D737" s="11"/>
      <c r="E737" s="12"/>
      <c r="F737" s="12"/>
      <c r="G737" s="12">
        <f>E737*F737</f>
        <v>0</v>
      </c>
      <c r="H737" s="12">
        <f>G737/10</f>
        <v>0</v>
      </c>
      <c r="I737" s="12">
        <f t="shared" si="156"/>
        <v>0</v>
      </c>
      <c r="J737" s="12"/>
      <c r="K737" s="12">
        <f>E737-J737</f>
        <v>0</v>
      </c>
      <c r="L737" s="11">
        <f>F737*K737</f>
        <v>0</v>
      </c>
      <c r="M737" s="11"/>
    </row>
    <row r="738" spans="2:13" ht="27" customHeight="1">
      <c r="B738" s="30"/>
      <c r="C738" s="10"/>
      <c r="D738" s="11"/>
      <c r="E738" s="12"/>
      <c r="F738" s="12"/>
      <c r="G738" s="12">
        <f>E738*F738</f>
        <v>0</v>
      </c>
      <c r="H738" s="12">
        <f>G738/10</f>
        <v>0</v>
      </c>
      <c r="I738" s="12">
        <f t="shared" si="156"/>
        <v>0</v>
      </c>
      <c r="J738" s="12"/>
      <c r="K738" s="12">
        <f>E738-J738</f>
        <v>0</v>
      </c>
      <c r="L738" s="11">
        <f>F738*K738</f>
        <v>0</v>
      </c>
      <c r="M738" s="11"/>
    </row>
    <row r="739" spans="2:13" ht="27" customHeight="1">
      <c r="B739" s="38"/>
      <c r="C739" s="18"/>
      <c r="D739" s="19" t="s">
        <v>405</v>
      </c>
      <c r="E739" s="20"/>
      <c r="F739" s="20"/>
      <c r="G739" s="20">
        <f>SUM(G736:G738)</f>
        <v>0</v>
      </c>
      <c r="H739" s="20">
        <f>SUM(H736:H738)</f>
        <v>0</v>
      </c>
      <c r="I739" s="20">
        <f t="shared" si="156"/>
        <v>0</v>
      </c>
      <c r="J739" s="20"/>
      <c r="K739" s="20"/>
      <c r="L739" s="20">
        <f>SUM(L736:L738)</f>
        <v>0</v>
      </c>
      <c r="M739" s="19"/>
    </row>
    <row r="740" spans="2:13" ht="27" customHeight="1">
      <c r="B740" s="27" t="s">
        <v>736</v>
      </c>
      <c r="C740" s="10" t="s">
        <v>20</v>
      </c>
      <c r="D740" s="11" t="s">
        <v>248</v>
      </c>
      <c r="E740" s="12">
        <v>1300</v>
      </c>
      <c r="F740" s="12"/>
      <c r="G740" s="12">
        <f>E740*F740</f>
        <v>0</v>
      </c>
      <c r="H740" s="12">
        <f>G740/10</f>
        <v>0</v>
      </c>
      <c r="I740" s="12">
        <f t="shared" si="156"/>
        <v>0</v>
      </c>
      <c r="J740" s="12">
        <v>400</v>
      </c>
      <c r="K740" s="12">
        <f>E740-J740</f>
        <v>900</v>
      </c>
      <c r="L740" s="11">
        <f>F740*K740</f>
        <v>0</v>
      </c>
      <c r="M740" s="11" t="s">
        <v>737</v>
      </c>
    </row>
    <row r="741" spans="2:13" ht="27" customHeight="1">
      <c r="B741" s="30"/>
      <c r="C741" s="10" t="s">
        <v>20</v>
      </c>
      <c r="D741" s="11" t="s">
        <v>738</v>
      </c>
      <c r="E741" s="12">
        <v>1300</v>
      </c>
      <c r="F741" s="12"/>
      <c r="G741" s="12">
        <f>E741*F741</f>
        <v>0</v>
      </c>
      <c r="H741" s="12">
        <f>G741/10</f>
        <v>0</v>
      </c>
      <c r="I741" s="12">
        <f t="shared" si="156"/>
        <v>0</v>
      </c>
      <c r="J741" s="12">
        <v>400</v>
      </c>
      <c r="K741" s="12">
        <f>E741-J741</f>
        <v>900</v>
      </c>
      <c r="L741" s="11">
        <f>F741*K741</f>
        <v>0</v>
      </c>
      <c r="M741" s="11"/>
    </row>
    <row r="742" spans="2:13" ht="27" customHeight="1">
      <c r="B742" s="30"/>
      <c r="C742" s="10"/>
      <c r="D742" s="11"/>
      <c r="E742" s="12"/>
      <c r="F742" s="12"/>
      <c r="G742" s="12">
        <f>E742*F742</f>
        <v>0</v>
      </c>
      <c r="H742" s="12">
        <f>G742/10</f>
        <v>0</v>
      </c>
      <c r="I742" s="12">
        <f t="shared" si="156"/>
        <v>0</v>
      </c>
      <c r="J742" s="12"/>
      <c r="K742" s="12">
        <f>E742-J742</f>
        <v>0</v>
      </c>
      <c r="L742" s="11">
        <f>F742*K742</f>
        <v>0</v>
      </c>
      <c r="M742" s="11"/>
    </row>
    <row r="743" spans="2:13" ht="27" customHeight="1">
      <c r="B743" s="38"/>
      <c r="C743" s="18"/>
      <c r="D743" s="19" t="s">
        <v>405</v>
      </c>
      <c r="E743" s="20"/>
      <c r="F743" s="20"/>
      <c r="G743" s="20">
        <f>SUM(G740:G742)</f>
        <v>0</v>
      </c>
      <c r="H743" s="20">
        <f>SUM(H740:H742)</f>
        <v>0</v>
      </c>
      <c r="I743" s="20">
        <f t="shared" si="156"/>
        <v>0</v>
      </c>
      <c r="J743" s="20"/>
      <c r="K743" s="20"/>
      <c r="L743" s="20">
        <f>SUM(L740:L742)</f>
        <v>0</v>
      </c>
      <c r="M743" s="19"/>
    </row>
    <row r="744" spans="2:13" ht="27" customHeight="1">
      <c r="B744" s="27" t="s">
        <v>739</v>
      </c>
      <c r="C744" s="10" t="s">
        <v>45</v>
      </c>
      <c r="D744" s="11" t="s">
        <v>740</v>
      </c>
      <c r="E744" s="12">
        <v>900000</v>
      </c>
      <c r="F744" s="73"/>
      <c r="G744" s="12">
        <f>E744*F744</f>
        <v>0</v>
      </c>
      <c r="H744" s="12">
        <f>G744/10</f>
        <v>0</v>
      </c>
      <c r="I744" s="12">
        <f t="shared" si="156"/>
        <v>0</v>
      </c>
      <c r="J744" s="12">
        <v>1099960</v>
      </c>
      <c r="K744" s="12">
        <f>E744-J744</f>
        <v>-199960</v>
      </c>
      <c r="L744" s="74">
        <f>F744*K744</f>
        <v>0</v>
      </c>
      <c r="M744" s="11"/>
    </row>
    <row r="745" spans="2:13" ht="27" customHeight="1">
      <c r="B745" s="30"/>
      <c r="C745" s="10"/>
      <c r="D745" s="11"/>
      <c r="E745" s="12"/>
      <c r="F745" s="12"/>
      <c r="G745" s="12">
        <f>E745*F745</f>
        <v>0</v>
      </c>
      <c r="H745" s="12">
        <f>G745/10</f>
        <v>0</v>
      </c>
      <c r="I745" s="12">
        <f t="shared" si="156"/>
        <v>0</v>
      </c>
      <c r="J745" s="12"/>
      <c r="K745" s="12">
        <f>E745-J745</f>
        <v>0</v>
      </c>
      <c r="L745" s="11">
        <f>F745*K745</f>
        <v>0</v>
      </c>
      <c r="M745" s="11"/>
    </row>
    <row r="746" spans="2:13" ht="27" customHeight="1">
      <c r="B746" s="30"/>
      <c r="C746" s="10"/>
      <c r="D746" s="11"/>
      <c r="E746" s="12"/>
      <c r="F746" s="12"/>
      <c r="G746" s="12">
        <f>E746*F746</f>
        <v>0</v>
      </c>
      <c r="H746" s="12">
        <f>G746/10</f>
        <v>0</v>
      </c>
      <c r="I746" s="12">
        <f t="shared" si="156"/>
        <v>0</v>
      </c>
      <c r="J746" s="12"/>
      <c r="K746" s="12">
        <f>E746-J746</f>
        <v>0</v>
      </c>
      <c r="L746" s="11">
        <f>F746*K746</f>
        <v>0</v>
      </c>
      <c r="M746" s="11"/>
    </row>
    <row r="747" spans="2:13" ht="27" customHeight="1">
      <c r="B747" s="38"/>
      <c r="C747" s="18"/>
      <c r="D747" s="19" t="s">
        <v>405</v>
      </c>
      <c r="E747" s="20"/>
      <c r="F747" s="20"/>
      <c r="G747" s="20">
        <f>SUM(G744:G746)</f>
        <v>0</v>
      </c>
      <c r="H747" s="20">
        <f>SUM(H744:H746)</f>
        <v>0</v>
      </c>
      <c r="I747" s="20">
        <f t="shared" si="156"/>
        <v>0</v>
      </c>
      <c r="J747" s="20"/>
      <c r="K747" s="20"/>
      <c r="L747" s="20">
        <f>SUM(L744:L746)</f>
        <v>0</v>
      </c>
      <c r="M747" s="19"/>
    </row>
    <row r="748" spans="2:13" ht="27" customHeight="1">
      <c r="B748" s="27" t="s">
        <v>741</v>
      </c>
      <c r="C748" s="10" t="s">
        <v>17</v>
      </c>
      <c r="D748" s="11" t="s">
        <v>742</v>
      </c>
      <c r="E748" s="12">
        <v>8500</v>
      </c>
      <c r="F748" s="12"/>
      <c r="G748" s="12">
        <f>E748*F748</f>
        <v>0</v>
      </c>
      <c r="H748" s="12">
        <f>G748/10</f>
        <v>0</v>
      </c>
      <c r="I748" s="12">
        <f t="shared" si="156"/>
        <v>0</v>
      </c>
      <c r="J748" s="12">
        <v>6851</v>
      </c>
      <c r="K748" s="12">
        <f>E748-J748</f>
        <v>1649</v>
      </c>
      <c r="L748" s="11">
        <f>F748*K748</f>
        <v>0</v>
      </c>
      <c r="M748" s="11"/>
    </row>
    <row r="749" spans="2:13" ht="27" customHeight="1">
      <c r="B749" s="30"/>
      <c r="C749" s="10" t="s">
        <v>14</v>
      </c>
      <c r="D749" s="11" t="s">
        <v>743</v>
      </c>
      <c r="E749" s="12">
        <v>9600</v>
      </c>
      <c r="F749" s="12"/>
      <c r="G749" s="12">
        <f>E749*F749</f>
        <v>0</v>
      </c>
      <c r="H749" s="12">
        <f>G749/10</f>
        <v>0</v>
      </c>
      <c r="I749" s="12">
        <f t="shared" si="156"/>
        <v>0</v>
      </c>
      <c r="J749" s="12">
        <v>7333</v>
      </c>
      <c r="K749" s="12">
        <f>E749-J749</f>
        <v>2267</v>
      </c>
      <c r="L749" s="11">
        <f>F749*K749</f>
        <v>0</v>
      </c>
      <c r="M749" s="11"/>
    </row>
    <row r="750" spans="2:13" ht="27" customHeight="1">
      <c r="B750" s="30"/>
      <c r="C750" s="10" t="s">
        <v>14</v>
      </c>
      <c r="D750" s="11" t="s">
        <v>744</v>
      </c>
      <c r="E750" s="12">
        <v>8500</v>
      </c>
      <c r="F750" s="12"/>
      <c r="G750" s="12">
        <f>E750*F750</f>
        <v>0</v>
      </c>
      <c r="H750" s="12">
        <f>G750/10</f>
        <v>0</v>
      </c>
      <c r="I750" s="12">
        <f t="shared" si="156"/>
        <v>0</v>
      </c>
      <c r="J750" s="12">
        <v>6851</v>
      </c>
      <c r="K750" s="12">
        <f>E750-J750</f>
        <v>1649</v>
      </c>
      <c r="L750" s="11">
        <f>F750*K750</f>
        <v>0</v>
      </c>
      <c r="M750" s="11"/>
    </row>
    <row r="751" spans="2:13" ht="27" customHeight="1">
      <c r="B751" s="30"/>
      <c r="C751" s="10" t="s">
        <v>17</v>
      </c>
      <c r="D751" s="11" t="s">
        <v>745</v>
      </c>
      <c r="E751" s="12">
        <v>7200</v>
      </c>
      <c r="F751" s="12"/>
      <c r="G751" s="12">
        <f>E751*F751</f>
        <v>0</v>
      </c>
      <c r="H751" s="12">
        <f>G751/10</f>
        <v>0</v>
      </c>
      <c r="I751" s="12">
        <f t="shared" si="156"/>
        <v>0</v>
      </c>
      <c r="J751" s="12">
        <v>6286</v>
      </c>
      <c r="K751" s="12">
        <f>E751-J751</f>
        <v>914</v>
      </c>
      <c r="L751" s="11">
        <f>F751*K751</f>
        <v>0</v>
      </c>
      <c r="M751" s="11"/>
    </row>
    <row r="752" spans="2:13" ht="27" customHeight="1">
      <c r="B752" s="38"/>
      <c r="C752" s="18"/>
      <c r="D752" s="19" t="s">
        <v>405</v>
      </c>
      <c r="E752" s="20"/>
      <c r="F752" s="20"/>
      <c r="G752" s="20">
        <f>SUM(G748:G751)</f>
        <v>0</v>
      </c>
      <c r="H752" s="20">
        <f>SUM(H748:H751)</f>
        <v>0</v>
      </c>
      <c r="I752" s="20">
        <f t="shared" si="156"/>
        <v>0</v>
      </c>
      <c r="J752" s="20"/>
      <c r="K752" s="20"/>
      <c r="L752" s="20">
        <f>SUM(L748:L751)</f>
        <v>0</v>
      </c>
      <c r="M752" s="81" t="e">
        <f>L752/G752</f>
        <v>#DIV/0!</v>
      </c>
    </row>
    <row r="753" spans="2:13" ht="27" customHeight="1">
      <c r="B753" s="27" t="s">
        <v>746</v>
      </c>
      <c r="C753" s="10" t="s">
        <v>23</v>
      </c>
      <c r="D753" s="11" t="s">
        <v>746</v>
      </c>
      <c r="E753" s="12">
        <v>390</v>
      </c>
      <c r="F753" s="12"/>
      <c r="G753" s="12">
        <f>E753*F753</f>
        <v>0</v>
      </c>
      <c r="H753" s="12">
        <f>G753/10</f>
        <v>0</v>
      </c>
      <c r="I753" s="12">
        <f t="shared" si="156"/>
        <v>0</v>
      </c>
      <c r="J753" s="12">
        <v>325</v>
      </c>
      <c r="K753" s="12">
        <f>E753-J753</f>
        <v>65</v>
      </c>
      <c r="L753" s="11">
        <f>F753*K753</f>
        <v>0</v>
      </c>
      <c r="M753" s="11"/>
    </row>
    <row r="754" spans="2:13" ht="27" customHeight="1">
      <c r="B754" s="30"/>
      <c r="C754" s="10"/>
      <c r="D754" s="11"/>
      <c r="E754" s="12"/>
      <c r="F754" s="12"/>
      <c r="G754" s="12">
        <f>E754*F754</f>
        <v>0</v>
      </c>
      <c r="H754" s="12">
        <f>G754/10</f>
        <v>0</v>
      </c>
      <c r="I754" s="12">
        <f t="shared" ref="I754:I775" si="167">G754+H754</f>
        <v>0</v>
      </c>
      <c r="J754" s="12"/>
      <c r="K754" s="12">
        <f>E754-J754</f>
        <v>0</v>
      </c>
      <c r="L754" s="11">
        <f>F754*K754</f>
        <v>0</v>
      </c>
      <c r="M754" s="11"/>
    </row>
    <row r="755" spans="2:13" ht="27" customHeight="1">
      <c r="B755" s="30"/>
      <c r="C755" s="10"/>
      <c r="D755" s="11"/>
      <c r="E755" s="12"/>
      <c r="F755" s="12"/>
      <c r="G755" s="12">
        <f>E755*F755</f>
        <v>0</v>
      </c>
      <c r="H755" s="12">
        <f>G755/10</f>
        <v>0</v>
      </c>
      <c r="I755" s="12">
        <f t="shared" si="167"/>
        <v>0</v>
      </c>
      <c r="J755" s="12"/>
      <c r="K755" s="12">
        <f>E755-J755</f>
        <v>0</v>
      </c>
      <c r="L755" s="11">
        <f>F755*K755</f>
        <v>0</v>
      </c>
      <c r="M755" s="11"/>
    </row>
    <row r="756" spans="2:13" ht="27" customHeight="1">
      <c r="B756" s="38"/>
      <c r="C756" s="18"/>
      <c r="D756" s="19" t="s">
        <v>405</v>
      </c>
      <c r="E756" s="20"/>
      <c r="F756" s="20"/>
      <c r="G756" s="20">
        <f>SUM(G753:G755)</f>
        <v>0</v>
      </c>
      <c r="H756" s="20">
        <f>SUM(H753:H755)</f>
        <v>0</v>
      </c>
      <c r="I756" s="20">
        <f t="shared" si="167"/>
        <v>0</v>
      </c>
      <c r="J756" s="20"/>
      <c r="K756" s="20"/>
      <c r="L756" s="20">
        <f>SUM(L753:L755)</f>
        <v>0</v>
      </c>
      <c r="M756" s="19"/>
    </row>
    <row r="757" spans="2:13" ht="27" customHeight="1">
      <c r="B757" s="27" t="s">
        <v>747</v>
      </c>
      <c r="C757" s="10" t="s">
        <v>14</v>
      </c>
      <c r="D757" s="11" t="s">
        <v>748</v>
      </c>
      <c r="E757" s="12">
        <v>9500</v>
      </c>
      <c r="F757" s="12"/>
      <c r="G757" s="12">
        <f>E757*F757</f>
        <v>0</v>
      </c>
      <c r="H757" s="12">
        <f>G757/10</f>
        <v>0</v>
      </c>
      <c r="I757" s="12">
        <f t="shared" si="167"/>
        <v>0</v>
      </c>
      <c r="J757" s="12">
        <v>7280</v>
      </c>
      <c r="K757" s="12">
        <f>E757-J757</f>
        <v>2220</v>
      </c>
      <c r="L757" s="11">
        <f>F757*K757</f>
        <v>0</v>
      </c>
      <c r="M757" s="11"/>
    </row>
    <row r="758" spans="2:13" ht="27" customHeight="1">
      <c r="B758" s="30"/>
      <c r="C758" s="10"/>
      <c r="D758" s="11"/>
      <c r="E758" s="12"/>
      <c r="F758" s="12"/>
      <c r="G758" s="12">
        <f>E758*F758</f>
        <v>0</v>
      </c>
      <c r="H758" s="12">
        <f>G758/10</f>
        <v>0</v>
      </c>
      <c r="I758" s="12">
        <f t="shared" si="167"/>
        <v>0</v>
      </c>
      <c r="J758" s="12"/>
      <c r="K758" s="12">
        <f>E758-J758</f>
        <v>0</v>
      </c>
      <c r="L758" s="11">
        <f>F758*K758</f>
        <v>0</v>
      </c>
      <c r="M758" s="11"/>
    </row>
    <row r="759" spans="2:13" ht="27" customHeight="1">
      <c r="B759" s="30"/>
      <c r="C759" s="10"/>
      <c r="D759" s="11"/>
      <c r="E759" s="12"/>
      <c r="F759" s="12"/>
      <c r="G759" s="12">
        <f>E759*F759</f>
        <v>0</v>
      </c>
      <c r="H759" s="12">
        <f>G759/10</f>
        <v>0</v>
      </c>
      <c r="I759" s="12">
        <f t="shared" si="167"/>
        <v>0</v>
      </c>
      <c r="J759" s="12"/>
      <c r="K759" s="12">
        <f>E759-J759</f>
        <v>0</v>
      </c>
      <c r="L759" s="11">
        <f>F759*K759</f>
        <v>0</v>
      </c>
      <c r="M759" s="11"/>
    </row>
    <row r="760" spans="2:13" ht="27" customHeight="1">
      <c r="B760" s="38"/>
      <c r="C760" s="18"/>
      <c r="D760" s="19" t="s">
        <v>405</v>
      </c>
      <c r="E760" s="20"/>
      <c r="F760" s="20"/>
      <c r="G760" s="20">
        <f>SUM(G757:G759)</f>
        <v>0</v>
      </c>
      <c r="H760" s="20">
        <f>SUM(H757:H759)</f>
        <v>0</v>
      </c>
      <c r="I760" s="20">
        <f t="shared" si="167"/>
        <v>0</v>
      </c>
      <c r="J760" s="20"/>
      <c r="K760" s="20"/>
      <c r="L760" s="20">
        <f>SUM(L757:L759)</f>
        <v>0</v>
      </c>
      <c r="M760" s="19"/>
    </row>
    <row r="761" spans="2:13" ht="27" customHeight="1">
      <c r="B761" s="27" t="s">
        <v>749</v>
      </c>
      <c r="C761" s="10" t="s">
        <v>45</v>
      </c>
      <c r="D761" s="11" t="s">
        <v>750</v>
      </c>
      <c r="E761" s="12">
        <v>35000</v>
      </c>
      <c r="F761" s="12"/>
      <c r="G761" s="12">
        <f t="shared" ref="G761:G766" si="168">E761*F761</f>
        <v>0</v>
      </c>
      <c r="H761" s="12">
        <f t="shared" ref="H761:H766" si="169">G761/10</f>
        <v>0</v>
      </c>
      <c r="I761" s="12">
        <f t="shared" si="167"/>
        <v>0</v>
      </c>
      <c r="J761" s="12">
        <v>28000</v>
      </c>
      <c r="K761" s="12">
        <f t="shared" ref="K761:K766" si="170">E761-J761</f>
        <v>7000</v>
      </c>
      <c r="L761" s="11">
        <f t="shared" ref="L761:L766" si="171">F761*K761</f>
        <v>0</v>
      </c>
      <c r="M761" s="11"/>
    </row>
    <row r="762" spans="2:13" ht="27" customHeight="1">
      <c r="B762" s="30"/>
      <c r="C762" s="10" t="s">
        <v>45</v>
      </c>
      <c r="D762" s="11" t="s">
        <v>751</v>
      </c>
      <c r="E762" s="12">
        <v>14000</v>
      </c>
      <c r="F762" s="12"/>
      <c r="G762" s="12">
        <f t="shared" si="168"/>
        <v>0</v>
      </c>
      <c r="H762" s="12">
        <f t="shared" si="169"/>
        <v>0</v>
      </c>
      <c r="I762" s="12">
        <f t="shared" si="167"/>
        <v>0</v>
      </c>
      <c r="J762" s="12">
        <v>10000</v>
      </c>
      <c r="K762" s="12">
        <f t="shared" si="170"/>
        <v>4000</v>
      </c>
      <c r="L762" s="11">
        <f t="shared" si="171"/>
        <v>0</v>
      </c>
      <c r="M762" s="11"/>
    </row>
    <row r="763" spans="2:13" ht="27" customHeight="1">
      <c r="B763" s="30"/>
      <c r="C763" s="10" t="s">
        <v>45</v>
      </c>
      <c r="D763" s="11" t="s">
        <v>580</v>
      </c>
      <c r="E763" s="12">
        <v>35000</v>
      </c>
      <c r="F763" s="12"/>
      <c r="G763" s="12">
        <f t="shared" si="168"/>
        <v>0</v>
      </c>
      <c r="H763" s="12">
        <f t="shared" si="169"/>
        <v>0</v>
      </c>
      <c r="I763" s="12">
        <f t="shared" si="167"/>
        <v>0</v>
      </c>
      <c r="J763" s="12">
        <v>26000</v>
      </c>
      <c r="K763" s="12">
        <f t="shared" si="170"/>
        <v>9000</v>
      </c>
      <c r="L763" s="11">
        <f t="shared" si="171"/>
        <v>0</v>
      </c>
      <c r="M763" s="11"/>
    </row>
    <row r="764" spans="2:13" ht="27" customHeight="1">
      <c r="B764" s="30"/>
      <c r="C764" s="10" t="s">
        <v>45</v>
      </c>
      <c r="D764" s="11" t="s">
        <v>582</v>
      </c>
      <c r="E764" s="12">
        <v>35000</v>
      </c>
      <c r="F764" s="12"/>
      <c r="G764" s="12">
        <f t="shared" si="168"/>
        <v>0</v>
      </c>
      <c r="H764" s="12">
        <f t="shared" si="169"/>
        <v>0</v>
      </c>
      <c r="I764" s="12">
        <f t="shared" si="167"/>
        <v>0</v>
      </c>
      <c r="J764" s="12">
        <v>28000</v>
      </c>
      <c r="K764" s="12">
        <f t="shared" si="170"/>
        <v>7000</v>
      </c>
      <c r="L764" s="11">
        <f t="shared" si="171"/>
        <v>0</v>
      </c>
      <c r="M764" s="11"/>
    </row>
    <row r="765" spans="2:13" ht="27" customHeight="1">
      <c r="B765" s="30"/>
      <c r="C765" s="10" t="s">
        <v>45</v>
      </c>
      <c r="D765" s="11" t="s">
        <v>752</v>
      </c>
      <c r="E765" s="12">
        <v>35000</v>
      </c>
      <c r="F765" s="12"/>
      <c r="G765" s="12">
        <f t="shared" si="168"/>
        <v>0</v>
      </c>
      <c r="H765" s="12">
        <f t="shared" si="169"/>
        <v>0</v>
      </c>
      <c r="I765" s="12">
        <f t="shared" si="167"/>
        <v>0</v>
      </c>
      <c r="J765" s="12">
        <v>28000</v>
      </c>
      <c r="K765" s="12">
        <f t="shared" si="170"/>
        <v>7000</v>
      </c>
      <c r="L765" s="11">
        <f t="shared" si="171"/>
        <v>0</v>
      </c>
      <c r="M765" s="11"/>
    </row>
    <row r="766" spans="2:13" ht="27" customHeight="1">
      <c r="B766" s="30"/>
      <c r="C766" s="10"/>
      <c r="D766" s="11"/>
      <c r="E766" s="12"/>
      <c r="F766" s="12"/>
      <c r="G766" s="12">
        <f t="shared" si="168"/>
        <v>0</v>
      </c>
      <c r="H766" s="12">
        <f t="shared" si="169"/>
        <v>0</v>
      </c>
      <c r="I766" s="12">
        <f t="shared" si="167"/>
        <v>0</v>
      </c>
      <c r="J766" s="12"/>
      <c r="K766" s="12">
        <f t="shared" si="170"/>
        <v>0</v>
      </c>
      <c r="L766" s="11">
        <f t="shared" si="171"/>
        <v>0</v>
      </c>
      <c r="M766" s="11"/>
    </row>
    <row r="767" spans="2:13" ht="27" customHeight="1">
      <c r="B767" s="38"/>
      <c r="C767" s="18"/>
      <c r="D767" s="19" t="s">
        <v>405</v>
      </c>
      <c r="E767" s="20"/>
      <c r="F767" s="20"/>
      <c r="G767" s="20">
        <f>SUM(G761:G766)</f>
        <v>0</v>
      </c>
      <c r="H767" s="20">
        <f>SUM(H761:H766)</f>
        <v>0</v>
      </c>
      <c r="I767" s="20">
        <f t="shared" si="167"/>
        <v>0</v>
      </c>
      <c r="J767" s="20"/>
      <c r="K767" s="20"/>
      <c r="L767" s="20">
        <f>SUM(L761:L766)</f>
        <v>0</v>
      </c>
      <c r="M767" s="19"/>
    </row>
    <row r="768" spans="2:13" ht="27" customHeight="1">
      <c r="B768" s="27" t="s">
        <v>753</v>
      </c>
      <c r="C768" s="10" t="s">
        <v>20</v>
      </c>
      <c r="D768" s="11" t="s">
        <v>754</v>
      </c>
      <c r="E768" s="12">
        <v>1180</v>
      </c>
      <c r="F768" s="12"/>
      <c r="G768" s="12">
        <f t="shared" ref="G768:G775" si="172">E768*F768</f>
        <v>0</v>
      </c>
      <c r="H768" s="12">
        <f t="shared" ref="H768:H775" si="173">G768/10</f>
        <v>0</v>
      </c>
      <c r="I768" s="12">
        <f t="shared" si="167"/>
        <v>0</v>
      </c>
      <c r="J768" s="12">
        <v>440</v>
      </c>
      <c r="K768" s="12">
        <f t="shared" ref="K768:K775" si="174">E768-J768</f>
        <v>740</v>
      </c>
      <c r="L768" s="11">
        <f t="shared" ref="L768:L775" si="175">F768*K768</f>
        <v>0</v>
      </c>
      <c r="M768" s="11"/>
    </row>
    <row r="769" spans="2:13" ht="27" customHeight="1">
      <c r="B769" s="30"/>
      <c r="C769" s="10" t="s">
        <v>20</v>
      </c>
      <c r="D769" s="11" t="s">
        <v>755</v>
      </c>
      <c r="E769" s="12">
        <v>1250</v>
      </c>
      <c r="F769" s="12"/>
      <c r="G769" s="12">
        <f t="shared" si="172"/>
        <v>0</v>
      </c>
      <c r="H769" s="12">
        <f t="shared" si="173"/>
        <v>0</v>
      </c>
      <c r="I769" s="12">
        <f t="shared" si="167"/>
        <v>0</v>
      </c>
      <c r="J769" s="12">
        <v>940</v>
      </c>
      <c r="K769" s="12">
        <f t="shared" si="174"/>
        <v>310</v>
      </c>
      <c r="L769" s="11">
        <f t="shared" si="175"/>
        <v>0</v>
      </c>
      <c r="M769" s="11"/>
    </row>
    <row r="770" spans="2:13" ht="27" customHeight="1">
      <c r="B770" s="30"/>
      <c r="C770" s="10" t="s">
        <v>20</v>
      </c>
      <c r="D770" s="11" t="s">
        <v>756</v>
      </c>
      <c r="E770" s="12">
        <v>1250</v>
      </c>
      <c r="F770" s="12"/>
      <c r="G770" s="12">
        <f t="shared" si="172"/>
        <v>0</v>
      </c>
      <c r="H770" s="12">
        <f t="shared" si="173"/>
        <v>0</v>
      </c>
      <c r="I770" s="12">
        <f t="shared" si="167"/>
        <v>0</v>
      </c>
      <c r="J770" s="12">
        <v>940</v>
      </c>
      <c r="K770" s="12">
        <f t="shared" si="174"/>
        <v>310</v>
      </c>
      <c r="L770" s="11">
        <f t="shared" si="175"/>
        <v>0</v>
      </c>
      <c r="M770" s="11" t="s">
        <v>757</v>
      </c>
    </row>
    <row r="771" spans="2:13" ht="27" customHeight="1">
      <c r="B771" s="30"/>
      <c r="C771" s="10" t="s">
        <v>34</v>
      </c>
      <c r="D771" s="11" t="s">
        <v>70</v>
      </c>
      <c r="E771" s="12">
        <v>29700</v>
      </c>
      <c r="F771" s="12"/>
      <c r="G771" s="12">
        <f t="shared" si="172"/>
        <v>0</v>
      </c>
      <c r="H771" s="12">
        <f t="shared" si="173"/>
        <v>0</v>
      </c>
      <c r="I771" s="12">
        <f t="shared" si="167"/>
        <v>0</v>
      </c>
      <c r="J771" s="12">
        <v>22200</v>
      </c>
      <c r="K771" s="12">
        <f t="shared" si="174"/>
        <v>7500</v>
      </c>
      <c r="L771" s="49">
        <f t="shared" si="175"/>
        <v>0</v>
      </c>
      <c r="M771" s="11"/>
    </row>
    <row r="772" spans="2:13" ht="27" customHeight="1">
      <c r="B772" s="30"/>
      <c r="C772" s="10" t="s">
        <v>34</v>
      </c>
      <c r="D772" s="11" t="s">
        <v>758</v>
      </c>
      <c r="E772" s="12">
        <v>36500</v>
      </c>
      <c r="F772" s="12"/>
      <c r="G772" s="12">
        <f t="shared" si="172"/>
        <v>0</v>
      </c>
      <c r="H772" s="12">
        <f t="shared" si="173"/>
        <v>0</v>
      </c>
      <c r="I772" s="12">
        <f t="shared" si="167"/>
        <v>0</v>
      </c>
      <c r="J772" s="37">
        <v>25800</v>
      </c>
      <c r="K772" s="12">
        <f t="shared" si="174"/>
        <v>10700</v>
      </c>
      <c r="L772" s="72">
        <f t="shared" si="175"/>
        <v>0</v>
      </c>
      <c r="M772" s="11"/>
    </row>
    <row r="773" spans="2:13" ht="27" customHeight="1">
      <c r="B773" s="30"/>
      <c r="C773" s="10" t="s">
        <v>17</v>
      </c>
      <c r="D773" s="11" t="s">
        <v>759</v>
      </c>
      <c r="E773" s="12">
        <v>6000</v>
      </c>
      <c r="F773" s="12"/>
      <c r="G773" s="12">
        <f t="shared" si="172"/>
        <v>0</v>
      </c>
      <c r="H773" s="12">
        <f t="shared" si="173"/>
        <v>0</v>
      </c>
      <c r="I773" s="12">
        <f t="shared" si="167"/>
        <v>0</v>
      </c>
      <c r="J773" s="12">
        <v>5500</v>
      </c>
      <c r="K773" s="12">
        <f t="shared" si="174"/>
        <v>500</v>
      </c>
      <c r="L773" s="72">
        <f t="shared" si="175"/>
        <v>0</v>
      </c>
      <c r="M773" s="11"/>
    </row>
    <row r="774" spans="2:13" ht="27" customHeight="1">
      <c r="B774" s="30"/>
      <c r="C774" s="10" t="s">
        <v>17</v>
      </c>
      <c r="D774" s="11" t="s">
        <v>760</v>
      </c>
      <c r="E774" s="12">
        <v>6000</v>
      </c>
      <c r="F774" s="12"/>
      <c r="G774" s="12">
        <f t="shared" si="172"/>
        <v>0</v>
      </c>
      <c r="H774" s="12">
        <f t="shared" si="173"/>
        <v>0</v>
      </c>
      <c r="I774" s="12">
        <f t="shared" si="167"/>
        <v>0</v>
      </c>
      <c r="J774" s="12">
        <v>4200</v>
      </c>
      <c r="K774" s="12">
        <f t="shared" si="174"/>
        <v>1800</v>
      </c>
      <c r="L774" s="72">
        <f t="shared" si="175"/>
        <v>0</v>
      </c>
      <c r="M774" s="11"/>
    </row>
    <row r="775" spans="2:13" ht="27" customHeight="1">
      <c r="B775" s="30"/>
      <c r="C775" s="10" t="s">
        <v>17</v>
      </c>
      <c r="D775" s="11" t="s">
        <v>761</v>
      </c>
      <c r="E775" s="12">
        <v>7500</v>
      </c>
      <c r="F775" s="12"/>
      <c r="G775" s="12">
        <f t="shared" si="172"/>
        <v>0</v>
      </c>
      <c r="H775" s="12">
        <f t="shared" si="173"/>
        <v>0</v>
      </c>
      <c r="I775" s="12">
        <f t="shared" si="167"/>
        <v>0</v>
      </c>
      <c r="J775" s="12">
        <v>6851</v>
      </c>
      <c r="K775" s="12">
        <f t="shared" si="174"/>
        <v>649</v>
      </c>
      <c r="L775" s="11">
        <f t="shared" si="175"/>
        <v>0</v>
      </c>
      <c r="M775" s="11"/>
    </row>
    <row r="776" spans="2:13" ht="27" customHeight="1">
      <c r="B776" s="38"/>
      <c r="C776" s="18"/>
      <c r="D776" s="19" t="s">
        <v>405</v>
      </c>
      <c r="E776" s="20"/>
      <c r="F776" s="20">
        <f>SUM(F768:F775)</f>
        <v>0</v>
      </c>
      <c r="G776" s="20">
        <f>SUM(G768:G775)</f>
        <v>0</v>
      </c>
      <c r="H776" s="20">
        <f>SUM(H768:H775)</f>
        <v>0</v>
      </c>
      <c r="I776" s="20">
        <f>SUM(I768:I775)</f>
        <v>0</v>
      </c>
      <c r="J776" s="20"/>
      <c r="K776" s="20"/>
      <c r="L776" s="20">
        <f>SUM(L768:L775)</f>
        <v>0</v>
      </c>
      <c r="M776" s="20">
        <f>SUM(M768:M775)</f>
        <v>0</v>
      </c>
    </row>
    <row r="777" spans="2:13" ht="27" customHeight="1">
      <c r="B777" s="27" t="s">
        <v>762</v>
      </c>
      <c r="C777" s="10" t="s">
        <v>20</v>
      </c>
      <c r="D777" s="11" t="s">
        <v>763</v>
      </c>
      <c r="E777" s="12">
        <v>1000</v>
      </c>
      <c r="F777" s="12"/>
      <c r="G777" s="12">
        <f>E777*F777</f>
        <v>0</v>
      </c>
      <c r="H777" s="12">
        <f>G777/10</f>
        <v>0</v>
      </c>
      <c r="I777" s="12">
        <f t="shared" ref="I777:I842" si="176">G777+H777</f>
        <v>0</v>
      </c>
      <c r="J777" s="37"/>
      <c r="K777" s="12">
        <f>E777-J777</f>
        <v>1000</v>
      </c>
      <c r="L777" s="11">
        <f>F777*K777</f>
        <v>0</v>
      </c>
      <c r="M777" s="11" t="s">
        <v>764</v>
      </c>
    </row>
    <row r="778" spans="2:13" ht="27" customHeight="1">
      <c r="B778" s="30"/>
      <c r="C778" s="10"/>
      <c r="D778" s="11"/>
      <c r="E778" s="12"/>
      <c r="F778" s="12"/>
      <c r="G778" s="12">
        <f>E778*F778</f>
        <v>0</v>
      </c>
      <c r="H778" s="12">
        <f>G778/10</f>
        <v>0</v>
      </c>
      <c r="I778" s="12">
        <f t="shared" si="176"/>
        <v>0</v>
      </c>
      <c r="J778" s="12"/>
      <c r="K778" s="12">
        <f>E778-J778</f>
        <v>0</v>
      </c>
      <c r="L778" s="11">
        <f>F778*K778</f>
        <v>0</v>
      </c>
      <c r="M778" s="11"/>
    </row>
    <row r="779" spans="2:13" ht="27" customHeight="1">
      <c r="B779" s="38"/>
      <c r="C779" s="18"/>
      <c r="D779" s="19" t="s">
        <v>405</v>
      </c>
      <c r="E779" s="20"/>
      <c r="F779" s="20"/>
      <c r="G779" s="20">
        <f>SUM(G777:G778)</f>
        <v>0</v>
      </c>
      <c r="H779" s="20">
        <f>SUM(H777:H778)</f>
        <v>0</v>
      </c>
      <c r="I779" s="20">
        <f t="shared" si="176"/>
        <v>0</v>
      </c>
      <c r="J779" s="20"/>
      <c r="K779" s="20"/>
      <c r="L779" s="20">
        <f>SUM(L777:L778)</f>
        <v>0</v>
      </c>
      <c r="M779" s="19"/>
    </row>
    <row r="780" spans="2:13" ht="27" customHeight="1">
      <c r="B780" s="27" t="s">
        <v>765</v>
      </c>
      <c r="C780" s="10" t="s">
        <v>17</v>
      </c>
      <c r="D780" s="11" t="s">
        <v>766</v>
      </c>
      <c r="E780" s="12">
        <v>8700</v>
      </c>
      <c r="F780" s="12"/>
      <c r="G780" s="12">
        <f>E780*F780</f>
        <v>0</v>
      </c>
      <c r="H780" s="12">
        <f>G780/10</f>
        <v>0</v>
      </c>
      <c r="I780" s="12">
        <f t="shared" si="176"/>
        <v>0</v>
      </c>
      <c r="J780" s="12">
        <v>7100</v>
      </c>
      <c r="K780" s="12">
        <f>E780-J780</f>
        <v>1600</v>
      </c>
      <c r="L780" s="11">
        <f>F780*K780</f>
        <v>0</v>
      </c>
      <c r="M780" s="11" t="s">
        <v>764</v>
      </c>
    </row>
    <row r="781" spans="2:13" ht="27" customHeight="1">
      <c r="B781" s="30"/>
      <c r="C781" s="10"/>
      <c r="D781" s="11"/>
      <c r="E781" s="12"/>
      <c r="F781" s="12"/>
      <c r="G781" s="12">
        <f>E781*F781</f>
        <v>0</v>
      </c>
      <c r="H781" s="12">
        <f>G781/10</f>
        <v>0</v>
      </c>
      <c r="I781" s="12">
        <f t="shared" si="176"/>
        <v>0</v>
      </c>
      <c r="J781" s="12"/>
      <c r="K781" s="12">
        <f>E781-J781</f>
        <v>0</v>
      </c>
      <c r="L781" s="11">
        <f>F781*K781</f>
        <v>0</v>
      </c>
      <c r="M781" s="11"/>
    </row>
    <row r="782" spans="2:13" ht="27" customHeight="1">
      <c r="B782" s="38"/>
      <c r="C782" s="18"/>
      <c r="D782" s="19" t="s">
        <v>405</v>
      </c>
      <c r="E782" s="20"/>
      <c r="F782" s="20"/>
      <c r="G782" s="20">
        <f>SUM(G780:G781)</f>
        <v>0</v>
      </c>
      <c r="H782" s="20">
        <f>SUM(H780:H781)</f>
        <v>0</v>
      </c>
      <c r="I782" s="20">
        <f t="shared" si="176"/>
        <v>0</v>
      </c>
      <c r="J782" s="20"/>
      <c r="K782" s="20"/>
      <c r="L782" s="20">
        <f>SUM(L780:L781)</f>
        <v>0</v>
      </c>
      <c r="M782" s="19"/>
    </row>
    <row r="783" spans="2:13" ht="27" customHeight="1">
      <c r="B783" s="27" t="s">
        <v>767</v>
      </c>
      <c r="C783" s="10" t="s">
        <v>45</v>
      </c>
      <c r="D783" s="11" t="s">
        <v>580</v>
      </c>
      <c r="E783" s="12">
        <v>35000</v>
      </c>
      <c r="F783" s="12"/>
      <c r="G783" s="12">
        <f>E783*F783</f>
        <v>0</v>
      </c>
      <c r="H783" s="12">
        <f>G783/10</f>
        <v>0</v>
      </c>
      <c r="I783" s="12">
        <f t="shared" si="176"/>
        <v>0</v>
      </c>
      <c r="J783" s="12">
        <v>25000</v>
      </c>
      <c r="K783" s="12">
        <f>E783-J783</f>
        <v>10000</v>
      </c>
      <c r="L783" s="11">
        <f>F783*K783</f>
        <v>0</v>
      </c>
      <c r="M783" s="11"/>
    </row>
    <row r="784" spans="2:13" ht="27" customHeight="1">
      <c r="B784" s="30"/>
      <c r="C784" s="10"/>
      <c r="D784" s="11"/>
      <c r="E784" s="12"/>
      <c r="F784" s="12"/>
      <c r="G784" s="12">
        <f>E784*F784</f>
        <v>0</v>
      </c>
      <c r="H784" s="12">
        <f>G784/10</f>
        <v>0</v>
      </c>
      <c r="I784" s="12">
        <f t="shared" si="176"/>
        <v>0</v>
      </c>
      <c r="J784" s="12"/>
      <c r="K784" s="12">
        <f>E784-J784</f>
        <v>0</v>
      </c>
      <c r="L784" s="11">
        <f>F784*K784</f>
        <v>0</v>
      </c>
      <c r="M784" s="11"/>
    </row>
    <row r="785" spans="2:13" ht="27" customHeight="1">
      <c r="B785" s="30"/>
      <c r="C785" s="10"/>
      <c r="D785" s="11"/>
      <c r="E785" s="12"/>
      <c r="F785" s="12"/>
      <c r="G785" s="12">
        <f>E785*F785</f>
        <v>0</v>
      </c>
      <c r="H785" s="12">
        <f>G785/10</f>
        <v>0</v>
      </c>
      <c r="I785" s="12">
        <f t="shared" si="176"/>
        <v>0</v>
      </c>
      <c r="J785" s="12"/>
      <c r="K785" s="12">
        <f>E785-J785</f>
        <v>0</v>
      </c>
      <c r="L785" s="11">
        <f>F785*K785</f>
        <v>0</v>
      </c>
      <c r="M785" s="11"/>
    </row>
    <row r="786" spans="2:13" ht="27" customHeight="1">
      <c r="B786" s="38"/>
      <c r="C786" s="18"/>
      <c r="D786" s="19" t="s">
        <v>405</v>
      </c>
      <c r="E786" s="20"/>
      <c r="F786" s="20"/>
      <c r="G786" s="20">
        <f>SUM(G783:G785)</f>
        <v>0</v>
      </c>
      <c r="H786" s="20">
        <f>SUM(H783:H785)</f>
        <v>0</v>
      </c>
      <c r="I786" s="20">
        <f t="shared" si="176"/>
        <v>0</v>
      </c>
      <c r="J786" s="20"/>
      <c r="K786" s="20"/>
      <c r="L786" s="20">
        <f>SUM(L783:L785)</f>
        <v>0</v>
      </c>
      <c r="M786" s="19"/>
    </row>
    <row r="787" spans="2:13" ht="27" customHeight="1">
      <c r="B787" s="27" t="s">
        <v>768</v>
      </c>
      <c r="C787" s="10" t="s">
        <v>17</v>
      </c>
      <c r="D787" s="11" t="s">
        <v>662</v>
      </c>
      <c r="E787" s="12">
        <v>7000</v>
      </c>
      <c r="F787" s="12"/>
      <c r="G787" s="12">
        <f t="shared" ref="G787:G802" si="177">E787*F787</f>
        <v>0</v>
      </c>
      <c r="H787" s="12">
        <f t="shared" ref="H787:H802" si="178">G787/10</f>
        <v>0</v>
      </c>
      <c r="I787" s="12">
        <f t="shared" si="176"/>
        <v>0</v>
      </c>
      <c r="J787" s="12">
        <v>6851</v>
      </c>
      <c r="K787" s="12">
        <f t="shared" ref="K787:K802" si="179">E787-J787</f>
        <v>149</v>
      </c>
      <c r="L787" s="11">
        <f t="shared" ref="L787:L802" si="180">F787*K787</f>
        <v>0</v>
      </c>
      <c r="M787" s="11"/>
    </row>
    <row r="788" spans="2:13" ht="27" customHeight="1">
      <c r="B788" s="30"/>
      <c r="C788" s="10" t="s">
        <v>17</v>
      </c>
      <c r="D788" s="11" t="s">
        <v>742</v>
      </c>
      <c r="E788" s="12">
        <v>7200</v>
      </c>
      <c r="F788" s="12"/>
      <c r="G788" s="12">
        <f t="shared" si="177"/>
        <v>0</v>
      </c>
      <c r="H788" s="12">
        <f t="shared" si="178"/>
        <v>0</v>
      </c>
      <c r="I788" s="12">
        <f t="shared" si="176"/>
        <v>0</v>
      </c>
      <c r="J788" s="12">
        <v>6851</v>
      </c>
      <c r="K788" s="12">
        <f t="shared" si="179"/>
        <v>349</v>
      </c>
      <c r="L788" s="11">
        <f t="shared" si="180"/>
        <v>0</v>
      </c>
      <c r="M788" s="11"/>
    </row>
    <row r="789" spans="2:13" ht="27" customHeight="1">
      <c r="B789" s="30"/>
      <c r="C789" s="10" t="s">
        <v>17</v>
      </c>
      <c r="D789" s="11" t="s">
        <v>769</v>
      </c>
      <c r="E789" s="12">
        <v>6400</v>
      </c>
      <c r="F789" s="12"/>
      <c r="G789" s="12">
        <f t="shared" si="177"/>
        <v>0</v>
      </c>
      <c r="H789" s="12">
        <f t="shared" si="178"/>
        <v>0</v>
      </c>
      <c r="I789" s="12">
        <f t="shared" si="176"/>
        <v>0</v>
      </c>
      <c r="J789" s="12">
        <v>6286</v>
      </c>
      <c r="K789" s="12">
        <f t="shared" si="179"/>
        <v>114</v>
      </c>
      <c r="L789" s="11">
        <f t="shared" si="180"/>
        <v>0</v>
      </c>
      <c r="M789" s="11"/>
    </row>
    <row r="790" spans="2:13" ht="27" customHeight="1">
      <c r="B790" s="30"/>
      <c r="C790" s="10" t="s">
        <v>17</v>
      </c>
      <c r="D790" s="11" t="s">
        <v>770</v>
      </c>
      <c r="E790" s="12">
        <v>7200</v>
      </c>
      <c r="F790" s="12"/>
      <c r="G790" s="12">
        <f t="shared" si="177"/>
        <v>0</v>
      </c>
      <c r="H790" s="12">
        <f t="shared" si="178"/>
        <v>0</v>
      </c>
      <c r="I790" s="12">
        <f t="shared" si="176"/>
        <v>0</v>
      </c>
      <c r="J790" s="12">
        <v>6540</v>
      </c>
      <c r="K790" s="12">
        <f t="shared" si="179"/>
        <v>660</v>
      </c>
      <c r="L790" s="11">
        <f t="shared" si="180"/>
        <v>0</v>
      </c>
      <c r="M790" s="11"/>
    </row>
    <row r="791" spans="2:13" ht="27" customHeight="1">
      <c r="B791" s="30"/>
      <c r="C791" s="10" t="s">
        <v>23</v>
      </c>
      <c r="D791" s="11" t="s">
        <v>771</v>
      </c>
      <c r="E791" s="12">
        <v>395</v>
      </c>
      <c r="F791" s="12"/>
      <c r="G791" s="12">
        <f t="shared" si="177"/>
        <v>0</v>
      </c>
      <c r="H791" s="12">
        <f t="shared" si="178"/>
        <v>0</v>
      </c>
      <c r="I791" s="12">
        <f t="shared" si="176"/>
        <v>0</v>
      </c>
      <c r="J791" s="12">
        <v>340</v>
      </c>
      <c r="K791" s="12">
        <f t="shared" si="179"/>
        <v>55</v>
      </c>
      <c r="L791" s="11">
        <f t="shared" si="180"/>
        <v>0</v>
      </c>
      <c r="M791" s="11" t="s">
        <v>668</v>
      </c>
    </row>
    <row r="792" spans="2:13" ht="27" customHeight="1">
      <c r="B792" s="30"/>
      <c r="C792" s="10" t="s">
        <v>23</v>
      </c>
      <c r="D792" s="11" t="s">
        <v>772</v>
      </c>
      <c r="E792" s="12">
        <v>395</v>
      </c>
      <c r="F792" s="12"/>
      <c r="G792" s="12">
        <f t="shared" si="177"/>
        <v>0</v>
      </c>
      <c r="H792" s="12">
        <f t="shared" si="178"/>
        <v>0</v>
      </c>
      <c r="I792" s="12">
        <f t="shared" si="176"/>
        <v>0</v>
      </c>
      <c r="J792" s="12">
        <v>340</v>
      </c>
      <c r="K792" s="12">
        <f t="shared" si="179"/>
        <v>55</v>
      </c>
      <c r="L792" s="11">
        <f t="shared" si="180"/>
        <v>0</v>
      </c>
      <c r="M792" s="11" t="s">
        <v>668</v>
      </c>
    </row>
    <row r="793" spans="2:13" ht="27" customHeight="1">
      <c r="B793" s="30"/>
      <c r="C793" s="10" t="s">
        <v>23</v>
      </c>
      <c r="D793" s="11" t="s">
        <v>773</v>
      </c>
      <c r="E793" s="12">
        <v>395</v>
      </c>
      <c r="F793" s="12">
        <v>8000</v>
      </c>
      <c r="G793" s="12">
        <f t="shared" si="177"/>
        <v>3160000</v>
      </c>
      <c r="H793" s="12">
        <f t="shared" si="178"/>
        <v>316000</v>
      </c>
      <c r="I793" s="12">
        <f t="shared" si="176"/>
        <v>3476000</v>
      </c>
      <c r="J793" s="12">
        <v>340</v>
      </c>
      <c r="K793" s="12">
        <f t="shared" si="179"/>
        <v>55</v>
      </c>
      <c r="L793" s="11">
        <f t="shared" si="180"/>
        <v>440000</v>
      </c>
      <c r="M793" s="11" t="s">
        <v>668</v>
      </c>
    </row>
    <row r="794" spans="2:13" ht="27" customHeight="1">
      <c r="B794" s="30"/>
      <c r="C794" s="10" t="s">
        <v>23</v>
      </c>
      <c r="D794" s="11" t="s">
        <v>774</v>
      </c>
      <c r="E794" s="12">
        <v>375</v>
      </c>
      <c r="F794" s="12">
        <v>12000</v>
      </c>
      <c r="G794" s="12">
        <f t="shared" si="177"/>
        <v>4500000</v>
      </c>
      <c r="H794" s="12">
        <f t="shared" si="178"/>
        <v>450000</v>
      </c>
      <c r="I794" s="12">
        <f t="shared" si="176"/>
        <v>4950000</v>
      </c>
      <c r="J794" s="12">
        <v>320</v>
      </c>
      <c r="K794" s="12">
        <f t="shared" si="179"/>
        <v>55</v>
      </c>
      <c r="L794" s="11">
        <f t="shared" si="180"/>
        <v>660000</v>
      </c>
      <c r="M794" s="11" t="s">
        <v>668</v>
      </c>
    </row>
    <row r="795" spans="2:13" ht="27" customHeight="1">
      <c r="B795" s="30"/>
      <c r="C795" s="10" t="s">
        <v>23</v>
      </c>
      <c r="D795" s="11" t="s">
        <v>775</v>
      </c>
      <c r="E795" s="12">
        <v>400</v>
      </c>
      <c r="F795" s="12"/>
      <c r="G795" s="12">
        <f t="shared" si="177"/>
        <v>0</v>
      </c>
      <c r="H795" s="12">
        <f t="shared" si="178"/>
        <v>0</v>
      </c>
      <c r="I795" s="12">
        <f t="shared" si="176"/>
        <v>0</v>
      </c>
      <c r="J795" s="12">
        <v>350</v>
      </c>
      <c r="K795" s="12">
        <f t="shared" si="179"/>
        <v>50</v>
      </c>
      <c r="L795" s="11">
        <f t="shared" si="180"/>
        <v>0</v>
      </c>
      <c r="M795" s="11"/>
    </row>
    <row r="796" spans="2:13" ht="27" customHeight="1">
      <c r="B796" s="30"/>
      <c r="C796" s="10" t="s">
        <v>23</v>
      </c>
      <c r="D796" s="11" t="s">
        <v>776</v>
      </c>
      <c r="E796" s="12">
        <v>385</v>
      </c>
      <c r="F796" s="12"/>
      <c r="G796" s="12">
        <f t="shared" si="177"/>
        <v>0</v>
      </c>
      <c r="H796" s="12">
        <f t="shared" si="178"/>
        <v>0</v>
      </c>
      <c r="I796" s="12">
        <f t="shared" si="176"/>
        <v>0</v>
      </c>
      <c r="J796" s="12">
        <v>320</v>
      </c>
      <c r="K796" s="12">
        <f t="shared" si="179"/>
        <v>65</v>
      </c>
      <c r="L796" s="11">
        <f t="shared" si="180"/>
        <v>0</v>
      </c>
      <c r="M796" s="11"/>
    </row>
    <row r="797" spans="2:13" ht="27" customHeight="1">
      <c r="B797" s="30"/>
      <c r="C797" s="10" t="s">
        <v>23</v>
      </c>
      <c r="D797" s="11" t="s">
        <v>777</v>
      </c>
      <c r="E797" s="12">
        <v>560</v>
      </c>
      <c r="F797" s="12"/>
      <c r="G797" s="12">
        <f t="shared" si="177"/>
        <v>0</v>
      </c>
      <c r="H797" s="12">
        <f t="shared" si="178"/>
        <v>0</v>
      </c>
      <c r="I797" s="12">
        <f t="shared" si="176"/>
        <v>0</v>
      </c>
      <c r="J797" s="12">
        <v>525</v>
      </c>
      <c r="K797" s="12">
        <f t="shared" si="179"/>
        <v>35</v>
      </c>
      <c r="L797" s="11">
        <f t="shared" si="180"/>
        <v>0</v>
      </c>
      <c r="M797" s="11"/>
    </row>
    <row r="798" spans="2:13" ht="27" customHeight="1">
      <c r="B798" s="30"/>
      <c r="C798" s="10" t="s">
        <v>23</v>
      </c>
      <c r="D798" s="11" t="s">
        <v>778</v>
      </c>
      <c r="E798" s="12">
        <v>600</v>
      </c>
      <c r="F798" s="12"/>
      <c r="G798" s="12">
        <f t="shared" si="177"/>
        <v>0</v>
      </c>
      <c r="H798" s="12">
        <f t="shared" si="178"/>
        <v>0</v>
      </c>
      <c r="I798" s="12">
        <f t="shared" si="176"/>
        <v>0</v>
      </c>
      <c r="J798" s="12">
        <v>550</v>
      </c>
      <c r="K798" s="12">
        <f t="shared" si="179"/>
        <v>50</v>
      </c>
      <c r="L798" s="11">
        <f t="shared" si="180"/>
        <v>0</v>
      </c>
      <c r="M798" s="11"/>
    </row>
    <row r="799" spans="2:13" ht="27" customHeight="1">
      <c r="B799" s="30"/>
      <c r="C799" s="10" t="s">
        <v>45</v>
      </c>
      <c r="D799" s="11" t="s">
        <v>150</v>
      </c>
      <c r="E799" s="12">
        <v>1600</v>
      </c>
      <c r="F799" s="12"/>
      <c r="G799" s="12">
        <f t="shared" si="177"/>
        <v>0</v>
      </c>
      <c r="H799" s="12">
        <f t="shared" si="178"/>
        <v>0</v>
      </c>
      <c r="I799" s="12">
        <f t="shared" si="176"/>
        <v>0</v>
      </c>
      <c r="J799" s="12">
        <v>1030</v>
      </c>
      <c r="K799" s="12">
        <f t="shared" si="179"/>
        <v>570</v>
      </c>
      <c r="L799" s="11">
        <f t="shared" si="180"/>
        <v>0</v>
      </c>
      <c r="M799" s="11"/>
    </row>
    <row r="800" spans="2:13" ht="27" customHeight="1">
      <c r="B800" s="30"/>
      <c r="C800" s="10" t="s">
        <v>45</v>
      </c>
      <c r="D800" s="11" t="s">
        <v>670</v>
      </c>
      <c r="E800" s="12">
        <v>6000</v>
      </c>
      <c r="F800" s="12"/>
      <c r="G800" s="12">
        <f t="shared" si="177"/>
        <v>0</v>
      </c>
      <c r="H800" s="12">
        <f t="shared" si="178"/>
        <v>0</v>
      </c>
      <c r="I800" s="12">
        <f t="shared" si="176"/>
        <v>0</v>
      </c>
      <c r="J800" s="12">
        <v>3800</v>
      </c>
      <c r="K800" s="12">
        <f t="shared" si="179"/>
        <v>2200</v>
      </c>
      <c r="L800" s="11">
        <f t="shared" si="180"/>
        <v>0</v>
      </c>
      <c r="M800" s="11" t="s">
        <v>333</v>
      </c>
    </row>
    <row r="801" spans="2:13" ht="27" customHeight="1">
      <c r="B801" s="30"/>
      <c r="C801" s="10" t="s">
        <v>45</v>
      </c>
      <c r="D801" s="11" t="s">
        <v>194</v>
      </c>
      <c r="E801" s="37"/>
      <c r="F801" s="12"/>
      <c r="G801" s="12">
        <f t="shared" si="177"/>
        <v>0</v>
      </c>
      <c r="H801" s="12">
        <f t="shared" si="178"/>
        <v>0</v>
      </c>
      <c r="I801" s="12">
        <f t="shared" si="176"/>
        <v>0</v>
      </c>
      <c r="J801" s="12"/>
      <c r="K801" s="12">
        <f t="shared" si="179"/>
        <v>0</v>
      </c>
      <c r="L801" s="11">
        <f t="shared" si="180"/>
        <v>0</v>
      </c>
      <c r="M801" s="11" t="s">
        <v>779</v>
      </c>
    </row>
    <row r="802" spans="2:13" ht="27" customHeight="1">
      <c r="B802" s="30"/>
      <c r="C802" s="10" t="s">
        <v>99</v>
      </c>
      <c r="D802" s="11" t="s">
        <v>151</v>
      </c>
      <c r="E802" s="12">
        <v>1</v>
      </c>
      <c r="F802" s="12"/>
      <c r="G802" s="12">
        <f t="shared" si="177"/>
        <v>0</v>
      </c>
      <c r="H802" s="12">
        <f t="shared" si="178"/>
        <v>0</v>
      </c>
      <c r="I802" s="12">
        <f t="shared" si="176"/>
        <v>0</v>
      </c>
      <c r="J802" s="12">
        <v>1</v>
      </c>
      <c r="K802" s="12">
        <f t="shared" si="179"/>
        <v>0</v>
      </c>
      <c r="L802" s="11">
        <f t="shared" si="180"/>
        <v>0</v>
      </c>
      <c r="M802" s="11" t="s">
        <v>780</v>
      </c>
    </row>
    <row r="803" spans="2:13" ht="27" customHeight="1">
      <c r="B803" s="38"/>
      <c r="C803" s="18"/>
      <c r="D803" s="19" t="s">
        <v>405</v>
      </c>
      <c r="E803" s="20"/>
      <c r="F803" s="20"/>
      <c r="G803" s="20">
        <f>SUM(G787:G802)</f>
        <v>7660000</v>
      </c>
      <c r="H803" s="20">
        <f>SUM(H787:H802)</f>
        <v>766000</v>
      </c>
      <c r="I803" s="20">
        <f t="shared" si="176"/>
        <v>8426000</v>
      </c>
      <c r="J803" s="20"/>
      <c r="K803" s="20"/>
      <c r="L803" s="20">
        <f>SUM(L787:L802)</f>
        <v>1100000</v>
      </c>
      <c r="M803" s="19"/>
    </row>
    <row r="804" spans="2:13" ht="27" customHeight="1">
      <c r="B804" s="27" t="s">
        <v>781</v>
      </c>
      <c r="C804" s="10" t="s">
        <v>372</v>
      </c>
      <c r="D804" s="11" t="s">
        <v>527</v>
      </c>
      <c r="E804" s="12">
        <v>240</v>
      </c>
      <c r="F804" s="12"/>
      <c r="G804" s="12">
        <f>E804*F804</f>
        <v>0</v>
      </c>
      <c r="H804" s="12">
        <f>G804/10</f>
        <v>0</v>
      </c>
      <c r="I804" s="12">
        <f t="shared" si="176"/>
        <v>0</v>
      </c>
      <c r="J804" s="12">
        <v>190</v>
      </c>
      <c r="K804" s="12">
        <f>E804-J804</f>
        <v>50</v>
      </c>
      <c r="L804" s="11">
        <f>F804*K804</f>
        <v>0</v>
      </c>
      <c r="M804" s="11"/>
    </row>
    <row r="805" spans="2:13" ht="27" customHeight="1">
      <c r="B805" s="30"/>
      <c r="C805" s="10" t="s">
        <v>372</v>
      </c>
      <c r="D805" s="11" t="s">
        <v>529</v>
      </c>
      <c r="E805" s="12">
        <v>270</v>
      </c>
      <c r="F805" s="12"/>
      <c r="G805" s="12">
        <f>E805*F805</f>
        <v>0</v>
      </c>
      <c r="H805" s="12">
        <f>G805/10</f>
        <v>0</v>
      </c>
      <c r="I805" s="12">
        <f t="shared" si="176"/>
        <v>0</v>
      </c>
      <c r="J805" s="12">
        <v>220</v>
      </c>
      <c r="K805" s="12">
        <f>E805-J805</f>
        <v>50</v>
      </c>
      <c r="L805" s="11">
        <f>F805*K805</f>
        <v>0</v>
      </c>
      <c r="M805" s="11"/>
    </row>
    <row r="806" spans="2:13" ht="27" customHeight="1">
      <c r="B806" s="30"/>
      <c r="C806" s="10"/>
      <c r="D806" s="11"/>
      <c r="E806" s="12"/>
      <c r="F806" s="12"/>
      <c r="G806" s="12">
        <f>E806*F806</f>
        <v>0</v>
      </c>
      <c r="H806" s="12">
        <f>G806/10</f>
        <v>0</v>
      </c>
      <c r="I806" s="12">
        <f t="shared" si="176"/>
        <v>0</v>
      </c>
      <c r="J806" s="12"/>
      <c r="K806" s="12">
        <f>E806-J806</f>
        <v>0</v>
      </c>
      <c r="L806" s="11">
        <f>F806*K806</f>
        <v>0</v>
      </c>
      <c r="M806" s="11"/>
    </row>
    <row r="807" spans="2:13" ht="27" customHeight="1">
      <c r="B807" s="38"/>
      <c r="C807" s="18"/>
      <c r="D807" s="19" t="s">
        <v>405</v>
      </c>
      <c r="E807" s="20"/>
      <c r="F807" s="20"/>
      <c r="G807" s="20">
        <f>SUM(G804:G806)</f>
        <v>0</v>
      </c>
      <c r="H807" s="20">
        <f>SUM(H804:H806)</f>
        <v>0</v>
      </c>
      <c r="I807" s="20">
        <f t="shared" si="176"/>
        <v>0</v>
      </c>
      <c r="J807" s="20"/>
      <c r="K807" s="20"/>
      <c r="L807" s="20">
        <f>SUM(L804:L806)</f>
        <v>0</v>
      </c>
      <c r="M807" s="19"/>
    </row>
    <row r="808" spans="2:13" ht="27" customHeight="1">
      <c r="B808" s="27" t="s">
        <v>782</v>
      </c>
      <c r="C808" s="10" t="s">
        <v>372</v>
      </c>
      <c r="D808" s="11" t="s">
        <v>783</v>
      </c>
      <c r="E808" s="12">
        <v>200</v>
      </c>
      <c r="F808" s="12"/>
      <c r="G808" s="12">
        <f>E808*F808</f>
        <v>0</v>
      </c>
      <c r="H808" s="12">
        <f>G808/10</f>
        <v>0</v>
      </c>
      <c r="I808" s="12">
        <f t="shared" si="176"/>
        <v>0</v>
      </c>
      <c r="J808" s="12">
        <v>170</v>
      </c>
      <c r="K808" s="12">
        <f>E808-J808</f>
        <v>30</v>
      </c>
      <c r="L808" s="11">
        <f>F808*K808</f>
        <v>0</v>
      </c>
      <c r="M808" s="11"/>
    </row>
    <row r="809" spans="2:13" ht="27" customHeight="1">
      <c r="B809" s="30"/>
      <c r="C809" s="10" t="s">
        <v>372</v>
      </c>
      <c r="D809" s="11" t="s">
        <v>784</v>
      </c>
      <c r="E809" s="12">
        <v>250</v>
      </c>
      <c r="F809" s="12"/>
      <c r="G809" s="12">
        <f>E809*F809</f>
        <v>0</v>
      </c>
      <c r="H809" s="12">
        <f>G809/10</f>
        <v>0</v>
      </c>
      <c r="I809" s="12">
        <f t="shared" si="176"/>
        <v>0</v>
      </c>
      <c r="J809" s="12">
        <v>205</v>
      </c>
      <c r="K809" s="12">
        <f>E809-J809</f>
        <v>45</v>
      </c>
      <c r="L809" s="11">
        <f>F809*K809</f>
        <v>0</v>
      </c>
      <c r="M809" s="11" t="s">
        <v>528</v>
      </c>
    </row>
    <row r="810" spans="2:13" ht="27" customHeight="1">
      <c r="B810" s="30"/>
      <c r="C810" s="10" t="s">
        <v>372</v>
      </c>
      <c r="D810" s="11" t="s">
        <v>785</v>
      </c>
      <c r="E810" s="12">
        <v>240</v>
      </c>
      <c r="F810" s="12"/>
      <c r="G810" s="12">
        <f>E810*F810</f>
        <v>0</v>
      </c>
      <c r="H810" s="12">
        <f>G810/10</f>
        <v>0</v>
      </c>
      <c r="I810" s="12">
        <f t="shared" si="176"/>
        <v>0</v>
      </c>
      <c r="J810" s="12">
        <v>195</v>
      </c>
      <c r="K810" s="12">
        <f>E810-J810</f>
        <v>45</v>
      </c>
      <c r="L810" s="11">
        <f>F810*K810</f>
        <v>0</v>
      </c>
      <c r="M810" s="11" t="s">
        <v>528</v>
      </c>
    </row>
    <row r="811" spans="2:13" ht="27" customHeight="1">
      <c r="B811" s="30"/>
      <c r="C811" s="10" t="s">
        <v>372</v>
      </c>
      <c r="D811" s="11" t="s">
        <v>529</v>
      </c>
      <c r="E811" s="12">
        <v>250</v>
      </c>
      <c r="F811" s="12"/>
      <c r="G811" s="12">
        <f>E811*F811</f>
        <v>0</v>
      </c>
      <c r="H811" s="12">
        <f>G811/10</f>
        <v>0</v>
      </c>
      <c r="I811" s="12">
        <f t="shared" si="176"/>
        <v>0</v>
      </c>
      <c r="J811" s="12">
        <v>235</v>
      </c>
      <c r="K811" s="12">
        <f>E811-J811</f>
        <v>15</v>
      </c>
      <c r="L811" s="11">
        <f>F811*K811</f>
        <v>0</v>
      </c>
      <c r="M811" s="11"/>
    </row>
    <row r="812" spans="2:13" ht="27" customHeight="1">
      <c r="B812" s="38"/>
      <c r="C812" s="18"/>
      <c r="D812" s="19" t="s">
        <v>405</v>
      </c>
      <c r="E812" s="20"/>
      <c r="F812" s="20"/>
      <c r="G812" s="20">
        <f>SUM(G808:G811)</f>
        <v>0</v>
      </c>
      <c r="H812" s="20">
        <f>SUM(H808:H811)</f>
        <v>0</v>
      </c>
      <c r="I812" s="20">
        <f t="shared" si="176"/>
        <v>0</v>
      </c>
      <c r="J812" s="20"/>
      <c r="K812" s="20"/>
      <c r="L812" s="20">
        <f>SUM(L808:L811)</f>
        <v>0</v>
      </c>
      <c r="M812" s="19"/>
    </row>
    <row r="813" spans="2:13" ht="27" customHeight="1">
      <c r="B813" s="27" t="s">
        <v>786</v>
      </c>
      <c r="C813" s="10" t="s">
        <v>372</v>
      </c>
      <c r="D813" s="11" t="s">
        <v>529</v>
      </c>
      <c r="E813" s="12">
        <v>260</v>
      </c>
      <c r="F813" s="12"/>
      <c r="G813" s="12">
        <f>E813*F813</f>
        <v>0</v>
      </c>
      <c r="H813" s="12">
        <f>G813/10</f>
        <v>0</v>
      </c>
      <c r="I813" s="12">
        <f t="shared" si="176"/>
        <v>0</v>
      </c>
      <c r="J813" s="12">
        <v>235</v>
      </c>
      <c r="K813" s="12">
        <f>E813-J813</f>
        <v>25</v>
      </c>
      <c r="L813" s="11">
        <f>F813*K813</f>
        <v>0</v>
      </c>
      <c r="M813" s="11"/>
    </row>
    <row r="814" spans="2:13" ht="27" customHeight="1">
      <c r="B814" s="30"/>
      <c r="C814" s="10"/>
      <c r="D814" s="11"/>
      <c r="E814" s="12"/>
      <c r="F814" s="12"/>
      <c r="G814" s="12">
        <f>E814*F814</f>
        <v>0</v>
      </c>
      <c r="H814" s="12">
        <f>G814/10</f>
        <v>0</v>
      </c>
      <c r="I814" s="12">
        <f t="shared" si="176"/>
        <v>0</v>
      </c>
      <c r="J814" s="12"/>
      <c r="K814" s="12">
        <f>E814-J814</f>
        <v>0</v>
      </c>
      <c r="L814" s="11">
        <f>F814*K814</f>
        <v>0</v>
      </c>
      <c r="M814" s="11"/>
    </row>
    <row r="815" spans="2:13" ht="27" customHeight="1">
      <c r="B815" s="30"/>
      <c r="C815" s="10"/>
      <c r="D815" s="11"/>
      <c r="E815" s="12"/>
      <c r="F815" s="12"/>
      <c r="G815" s="12">
        <f>E815*F815</f>
        <v>0</v>
      </c>
      <c r="H815" s="12">
        <f>G815/10</f>
        <v>0</v>
      </c>
      <c r="I815" s="12">
        <f t="shared" si="176"/>
        <v>0</v>
      </c>
      <c r="J815" s="12"/>
      <c r="K815" s="12">
        <f>E815-J815</f>
        <v>0</v>
      </c>
      <c r="L815" s="11">
        <f>F815*K815</f>
        <v>0</v>
      </c>
      <c r="M815" s="11"/>
    </row>
    <row r="816" spans="2:13" ht="27" customHeight="1">
      <c r="B816" s="38"/>
      <c r="C816" s="18"/>
      <c r="D816" s="19" t="s">
        <v>405</v>
      </c>
      <c r="E816" s="20"/>
      <c r="F816" s="20"/>
      <c r="G816" s="20">
        <f>SUM(G813:G815)</f>
        <v>0</v>
      </c>
      <c r="H816" s="20">
        <f>SUM(H813:H815)</f>
        <v>0</v>
      </c>
      <c r="I816" s="20">
        <f t="shared" si="176"/>
        <v>0</v>
      </c>
      <c r="J816" s="20"/>
      <c r="K816" s="20"/>
      <c r="L816" s="20">
        <f>SUM(L813:L815)</f>
        <v>0</v>
      </c>
      <c r="M816" s="19"/>
    </row>
    <row r="817" spans="2:13" ht="27" customHeight="1">
      <c r="B817" s="27" t="s">
        <v>787</v>
      </c>
      <c r="C817" s="10" t="s">
        <v>372</v>
      </c>
      <c r="D817" s="11" t="s">
        <v>788</v>
      </c>
      <c r="E817" s="12">
        <v>240</v>
      </c>
      <c r="F817" s="12"/>
      <c r="G817" s="12">
        <f>E817*F817</f>
        <v>0</v>
      </c>
      <c r="H817" s="12">
        <f>G817/10</f>
        <v>0</v>
      </c>
      <c r="I817" s="12">
        <f t="shared" si="176"/>
        <v>0</v>
      </c>
      <c r="J817" s="12">
        <v>195</v>
      </c>
      <c r="K817" s="12">
        <f>E817-J817</f>
        <v>45</v>
      </c>
      <c r="L817" s="11">
        <f>F817*K817</f>
        <v>0</v>
      </c>
      <c r="M817" s="11"/>
    </row>
    <row r="818" spans="2:13" ht="27" customHeight="1">
      <c r="B818" s="30"/>
      <c r="C818" s="10" t="s">
        <v>372</v>
      </c>
      <c r="D818" s="11" t="s">
        <v>529</v>
      </c>
      <c r="E818" s="12">
        <v>260</v>
      </c>
      <c r="F818" s="12"/>
      <c r="G818" s="12">
        <f>E818*F818</f>
        <v>0</v>
      </c>
      <c r="H818" s="12">
        <f>G818/10</f>
        <v>0</v>
      </c>
      <c r="I818" s="12">
        <f t="shared" si="176"/>
        <v>0</v>
      </c>
      <c r="J818" s="12">
        <v>235</v>
      </c>
      <c r="K818" s="12">
        <f>E818-J818</f>
        <v>25</v>
      </c>
      <c r="L818" s="11">
        <f>F818*K818</f>
        <v>0</v>
      </c>
      <c r="M818" s="11"/>
    </row>
    <row r="819" spans="2:13" ht="27" customHeight="1">
      <c r="B819" s="30"/>
      <c r="C819" s="10"/>
      <c r="D819" s="11"/>
      <c r="E819" s="12"/>
      <c r="F819" s="12"/>
      <c r="G819" s="12">
        <f>E819*F819</f>
        <v>0</v>
      </c>
      <c r="H819" s="12">
        <f>G819/10</f>
        <v>0</v>
      </c>
      <c r="I819" s="12">
        <f t="shared" si="176"/>
        <v>0</v>
      </c>
      <c r="J819" s="12"/>
      <c r="K819" s="12">
        <f>E819-J819</f>
        <v>0</v>
      </c>
      <c r="L819" s="11">
        <f>F819*K819</f>
        <v>0</v>
      </c>
      <c r="M819" s="11"/>
    </row>
    <row r="820" spans="2:13" ht="27" customHeight="1">
      <c r="B820" s="38"/>
      <c r="C820" s="18"/>
      <c r="D820" s="19" t="s">
        <v>405</v>
      </c>
      <c r="E820" s="20"/>
      <c r="F820" s="20"/>
      <c r="G820" s="20">
        <f>SUM(G817:G819)</f>
        <v>0</v>
      </c>
      <c r="H820" s="20">
        <f>SUM(H817:H819)</f>
        <v>0</v>
      </c>
      <c r="I820" s="20">
        <f t="shared" si="176"/>
        <v>0</v>
      </c>
      <c r="J820" s="20"/>
      <c r="K820" s="20"/>
      <c r="L820" s="20">
        <f>SUM(L817:L819)</f>
        <v>0</v>
      </c>
      <c r="M820" s="19"/>
    </row>
    <row r="821" spans="2:13" ht="27" customHeight="1">
      <c r="B821" s="27" t="s">
        <v>789</v>
      </c>
      <c r="C821" s="10" t="s">
        <v>17</v>
      </c>
      <c r="D821" s="11" t="s">
        <v>790</v>
      </c>
      <c r="E821" s="12">
        <v>9000</v>
      </c>
      <c r="F821" s="12"/>
      <c r="G821" s="12">
        <f>E821*F821</f>
        <v>0</v>
      </c>
      <c r="H821" s="12">
        <f>G821/10</f>
        <v>0</v>
      </c>
      <c r="I821" s="12">
        <f t="shared" si="176"/>
        <v>0</v>
      </c>
      <c r="J821" s="12">
        <v>6000</v>
      </c>
      <c r="K821" s="12">
        <f>E821-J821</f>
        <v>3000</v>
      </c>
      <c r="L821" s="11">
        <f>F821*K821</f>
        <v>0</v>
      </c>
      <c r="M821" s="11"/>
    </row>
    <row r="822" spans="2:13" ht="27" customHeight="1">
      <c r="B822" s="30"/>
      <c r="C822" s="10"/>
      <c r="D822" s="11"/>
      <c r="E822" s="12"/>
      <c r="F822" s="12"/>
      <c r="G822" s="12">
        <f>E822*F822</f>
        <v>0</v>
      </c>
      <c r="H822" s="12">
        <f>G822/10</f>
        <v>0</v>
      </c>
      <c r="I822" s="12">
        <f t="shared" si="176"/>
        <v>0</v>
      </c>
      <c r="J822" s="12"/>
      <c r="K822" s="12">
        <f>E822-J822</f>
        <v>0</v>
      </c>
      <c r="L822" s="11">
        <f>F822*K822</f>
        <v>0</v>
      </c>
      <c r="M822" s="11"/>
    </row>
    <row r="823" spans="2:13" ht="27" customHeight="1">
      <c r="B823" s="30"/>
      <c r="C823" s="10"/>
      <c r="D823" s="11"/>
      <c r="E823" s="12"/>
      <c r="F823" s="12"/>
      <c r="G823" s="12">
        <f>E823*F823</f>
        <v>0</v>
      </c>
      <c r="H823" s="12">
        <f>G823/10</f>
        <v>0</v>
      </c>
      <c r="I823" s="12">
        <f t="shared" si="176"/>
        <v>0</v>
      </c>
      <c r="J823" s="12"/>
      <c r="K823" s="12">
        <f>E823-J823</f>
        <v>0</v>
      </c>
      <c r="L823" s="11">
        <f>F823*K823</f>
        <v>0</v>
      </c>
      <c r="M823" s="11"/>
    </row>
    <row r="824" spans="2:13" ht="27" customHeight="1">
      <c r="B824" s="38"/>
      <c r="C824" s="18"/>
      <c r="D824" s="19" t="s">
        <v>405</v>
      </c>
      <c r="E824" s="20"/>
      <c r="F824" s="20"/>
      <c r="G824" s="20">
        <f>SUM(G821:G823)</f>
        <v>0</v>
      </c>
      <c r="H824" s="20">
        <f>SUM(H821:H823)</f>
        <v>0</v>
      </c>
      <c r="I824" s="20">
        <f t="shared" si="176"/>
        <v>0</v>
      </c>
      <c r="J824" s="20"/>
      <c r="K824" s="20"/>
      <c r="L824" s="20">
        <f>SUM(L821:L823)</f>
        <v>0</v>
      </c>
      <c r="M824" s="19"/>
    </row>
    <row r="825" spans="2:13" ht="27" customHeight="1">
      <c r="B825" s="27" t="s">
        <v>791</v>
      </c>
      <c r="C825" s="10" t="s">
        <v>23</v>
      </c>
      <c r="D825" s="11" t="s">
        <v>246</v>
      </c>
      <c r="E825" s="12">
        <v>400</v>
      </c>
      <c r="F825" s="12"/>
      <c r="G825" s="12">
        <f>E825*F825</f>
        <v>0</v>
      </c>
      <c r="H825" s="12">
        <f>G825/10</f>
        <v>0</v>
      </c>
      <c r="I825" s="12">
        <f t="shared" si="176"/>
        <v>0</v>
      </c>
      <c r="J825" s="12">
        <v>280</v>
      </c>
      <c r="K825" s="12">
        <f>E825-J825</f>
        <v>120</v>
      </c>
      <c r="L825" s="11">
        <f>F825*K825</f>
        <v>0</v>
      </c>
      <c r="M825" s="11"/>
    </row>
    <row r="826" spans="2:13" ht="27" customHeight="1">
      <c r="B826" s="30"/>
      <c r="C826" s="10"/>
      <c r="D826" s="11"/>
      <c r="E826" s="12"/>
      <c r="F826" s="12"/>
      <c r="G826" s="12">
        <f>E826*F826</f>
        <v>0</v>
      </c>
      <c r="H826" s="12">
        <f>G826/10</f>
        <v>0</v>
      </c>
      <c r="I826" s="12">
        <f t="shared" si="176"/>
        <v>0</v>
      </c>
      <c r="J826" s="12"/>
      <c r="K826" s="12">
        <f>E826-J826</f>
        <v>0</v>
      </c>
      <c r="L826" s="11">
        <f>F826*K826</f>
        <v>0</v>
      </c>
      <c r="M826" s="11"/>
    </row>
    <row r="827" spans="2:13" ht="27" customHeight="1">
      <c r="B827" s="38"/>
      <c r="C827" s="18"/>
      <c r="D827" s="19" t="s">
        <v>405</v>
      </c>
      <c r="E827" s="20"/>
      <c r="F827" s="20"/>
      <c r="G827" s="20">
        <f>SUM(G825:G826)</f>
        <v>0</v>
      </c>
      <c r="H827" s="20">
        <f>SUM(H825:H826)</f>
        <v>0</v>
      </c>
      <c r="I827" s="20">
        <f t="shared" si="176"/>
        <v>0</v>
      </c>
      <c r="J827" s="20"/>
      <c r="K827" s="20"/>
      <c r="L827" s="20">
        <f>SUM(L825:L826)</f>
        <v>0</v>
      </c>
      <c r="M827" s="19"/>
    </row>
    <row r="828" spans="2:13" ht="27" customHeight="1">
      <c r="B828" s="27" t="s">
        <v>792</v>
      </c>
      <c r="C828" s="10" t="s">
        <v>17</v>
      </c>
      <c r="D828" s="11" t="s">
        <v>18</v>
      </c>
      <c r="E828" s="12">
        <v>8000</v>
      </c>
      <c r="F828" s="12"/>
      <c r="G828" s="12">
        <f>E828*F828</f>
        <v>0</v>
      </c>
      <c r="H828" s="12">
        <f>G828/10</f>
        <v>0</v>
      </c>
      <c r="I828" s="12">
        <f t="shared" si="176"/>
        <v>0</v>
      </c>
      <c r="J828" s="12">
        <v>7194</v>
      </c>
      <c r="K828" s="12">
        <f>E828-J828</f>
        <v>806</v>
      </c>
      <c r="L828" s="11">
        <f>F828*K828</f>
        <v>0</v>
      </c>
      <c r="M828" s="11"/>
    </row>
    <row r="829" spans="2:13" ht="27" customHeight="1">
      <c r="B829" s="30"/>
      <c r="C829" s="10" t="s">
        <v>14</v>
      </c>
      <c r="D829" s="11" t="s">
        <v>748</v>
      </c>
      <c r="E829" s="12">
        <v>9500</v>
      </c>
      <c r="F829" s="12"/>
      <c r="G829" s="12">
        <f>E829*F829</f>
        <v>0</v>
      </c>
      <c r="H829" s="12">
        <f>G829/10</f>
        <v>0</v>
      </c>
      <c r="I829" s="12">
        <f t="shared" si="176"/>
        <v>0</v>
      </c>
      <c r="J829" s="12">
        <v>7280</v>
      </c>
      <c r="K829" s="12">
        <f>E829-J829</f>
        <v>2220</v>
      </c>
      <c r="L829" s="11">
        <f>F829*K829</f>
        <v>0</v>
      </c>
      <c r="M829" s="11"/>
    </row>
    <row r="830" spans="2:13" ht="27" customHeight="1">
      <c r="B830" s="30"/>
      <c r="C830" s="10"/>
      <c r="D830" s="11"/>
      <c r="E830" s="12"/>
      <c r="F830" s="12"/>
      <c r="G830" s="12">
        <f>E830*F830</f>
        <v>0</v>
      </c>
      <c r="H830" s="12">
        <f>G830/10</f>
        <v>0</v>
      </c>
      <c r="I830" s="12">
        <f t="shared" si="176"/>
        <v>0</v>
      </c>
      <c r="J830" s="12"/>
      <c r="K830" s="12">
        <f>E830-J830</f>
        <v>0</v>
      </c>
      <c r="L830" s="11">
        <f>F830*K830</f>
        <v>0</v>
      </c>
      <c r="M830" s="11"/>
    </row>
    <row r="831" spans="2:13" ht="27" customHeight="1">
      <c r="B831" s="38"/>
      <c r="C831" s="18"/>
      <c r="D831" s="19" t="s">
        <v>405</v>
      </c>
      <c r="E831" s="20"/>
      <c r="F831" s="20"/>
      <c r="G831" s="20">
        <f>SUM(G828:G830)</f>
        <v>0</v>
      </c>
      <c r="H831" s="20">
        <f>SUM(H828:H830)</f>
        <v>0</v>
      </c>
      <c r="I831" s="20">
        <f t="shared" si="176"/>
        <v>0</v>
      </c>
      <c r="J831" s="20"/>
      <c r="K831" s="20"/>
      <c r="L831" s="20">
        <f>SUM(L828:L830)</f>
        <v>0</v>
      </c>
      <c r="M831" s="19"/>
    </row>
    <row r="832" spans="2:13" ht="27" customHeight="1">
      <c r="B832" s="27" t="s">
        <v>793</v>
      </c>
      <c r="C832" s="10" t="s">
        <v>14</v>
      </c>
      <c r="D832" s="11" t="s">
        <v>748</v>
      </c>
      <c r="E832" s="12">
        <v>8000</v>
      </c>
      <c r="F832" s="12"/>
      <c r="G832" s="12">
        <f>E832*F832</f>
        <v>0</v>
      </c>
      <c r="H832" s="12">
        <f>G832/10</f>
        <v>0</v>
      </c>
      <c r="I832" s="12">
        <f t="shared" si="176"/>
        <v>0</v>
      </c>
      <c r="J832" s="12">
        <v>7280</v>
      </c>
      <c r="K832" s="12">
        <f>E832-J832</f>
        <v>720</v>
      </c>
      <c r="L832" s="11">
        <f>F832*K832</f>
        <v>0</v>
      </c>
      <c r="M832" s="11"/>
    </row>
    <row r="833" spans="2:13" ht="27" customHeight="1">
      <c r="B833" s="30"/>
      <c r="C833" s="10"/>
      <c r="D833" s="11"/>
      <c r="E833" s="12"/>
      <c r="F833" s="12"/>
      <c r="G833" s="12">
        <f>E833*F833</f>
        <v>0</v>
      </c>
      <c r="H833" s="12">
        <f>G833/10</f>
        <v>0</v>
      </c>
      <c r="I833" s="12">
        <f t="shared" si="176"/>
        <v>0</v>
      </c>
      <c r="J833" s="12"/>
      <c r="K833" s="12">
        <f>E833-J833</f>
        <v>0</v>
      </c>
      <c r="L833" s="11">
        <f>F833*K833</f>
        <v>0</v>
      </c>
      <c r="M833" s="11"/>
    </row>
    <row r="834" spans="2:13" ht="27" customHeight="1">
      <c r="B834" s="38"/>
      <c r="C834" s="18"/>
      <c r="D834" s="19" t="s">
        <v>405</v>
      </c>
      <c r="E834" s="20"/>
      <c r="F834" s="20"/>
      <c r="G834" s="20">
        <f>SUM(G832:G833)</f>
        <v>0</v>
      </c>
      <c r="H834" s="20">
        <f>SUM(H832:H833)</f>
        <v>0</v>
      </c>
      <c r="I834" s="20">
        <f t="shared" si="176"/>
        <v>0</v>
      </c>
      <c r="J834" s="20"/>
      <c r="K834" s="20"/>
      <c r="L834" s="20">
        <f>SUM(L832:L833)</f>
        <v>0</v>
      </c>
      <c r="M834" s="19"/>
    </row>
    <row r="835" spans="2:13" ht="27" customHeight="1">
      <c r="B835" s="27" t="s">
        <v>794</v>
      </c>
      <c r="C835" s="10" t="s">
        <v>23</v>
      </c>
      <c r="D835" s="11" t="s">
        <v>97</v>
      </c>
      <c r="E835" s="12">
        <v>340</v>
      </c>
      <c r="F835" s="12"/>
      <c r="G835" s="12">
        <f>E835*F835</f>
        <v>0</v>
      </c>
      <c r="H835" s="12">
        <f>G835/10</f>
        <v>0</v>
      </c>
      <c r="I835" s="12">
        <f t="shared" si="176"/>
        <v>0</v>
      </c>
      <c r="J835" s="12">
        <v>280</v>
      </c>
      <c r="K835" s="12">
        <f>E835-J835</f>
        <v>60</v>
      </c>
      <c r="L835" s="11">
        <f>F835*K835</f>
        <v>0</v>
      </c>
      <c r="M835" s="11"/>
    </row>
    <row r="836" spans="2:13" ht="27" customHeight="1">
      <c r="B836" s="30"/>
      <c r="C836" s="10"/>
      <c r="D836" s="11"/>
      <c r="E836" s="12"/>
      <c r="F836" s="12"/>
      <c r="G836" s="12">
        <f>E836*F836</f>
        <v>0</v>
      </c>
      <c r="H836" s="12">
        <f>G836/10</f>
        <v>0</v>
      </c>
      <c r="I836" s="12">
        <f t="shared" si="176"/>
        <v>0</v>
      </c>
      <c r="J836" s="12"/>
      <c r="K836" s="12">
        <f>E836-J836</f>
        <v>0</v>
      </c>
      <c r="L836" s="11">
        <f>F836*K836</f>
        <v>0</v>
      </c>
      <c r="M836" s="11"/>
    </row>
    <row r="837" spans="2:13" ht="27" customHeight="1">
      <c r="B837" s="30"/>
      <c r="C837" s="10"/>
      <c r="D837" s="11"/>
      <c r="E837" s="12"/>
      <c r="F837" s="12"/>
      <c r="G837" s="12">
        <f>E837*F837</f>
        <v>0</v>
      </c>
      <c r="H837" s="12">
        <f>G837/10</f>
        <v>0</v>
      </c>
      <c r="I837" s="12">
        <f t="shared" si="176"/>
        <v>0</v>
      </c>
      <c r="J837" s="12"/>
      <c r="K837" s="12">
        <f>E837-J837</f>
        <v>0</v>
      </c>
      <c r="L837" s="11">
        <f>F837*K837</f>
        <v>0</v>
      </c>
      <c r="M837" s="11"/>
    </row>
    <row r="838" spans="2:13" ht="27" customHeight="1">
      <c r="B838" s="38"/>
      <c r="C838" s="18"/>
      <c r="D838" s="19" t="s">
        <v>405</v>
      </c>
      <c r="E838" s="20"/>
      <c r="F838" s="20"/>
      <c r="G838" s="20">
        <f>SUM(G835:G837)</f>
        <v>0</v>
      </c>
      <c r="H838" s="20">
        <f>SUM(H835:H837)</f>
        <v>0</v>
      </c>
      <c r="I838" s="20">
        <f t="shared" si="176"/>
        <v>0</v>
      </c>
      <c r="J838" s="20"/>
      <c r="K838" s="20"/>
      <c r="L838" s="20">
        <f>SUM(L835:L837)</f>
        <v>0</v>
      </c>
      <c r="M838" s="19"/>
    </row>
    <row r="839" spans="2:13" ht="27" customHeight="1">
      <c r="B839" s="27" t="s">
        <v>795</v>
      </c>
      <c r="C839" s="10" t="s">
        <v>17</v>
      </c>
      <c r="D839" s="11" t="s">
        <v>18</v>
      </c>
      <c r="E839" s="12">
        <v>9000</v>
      </c>
      <c r="F839" s="12"/>
      <c r="G839" s="12">
        <f>E839*F839</f>
        <v>0</v>
      </c>
      <c r="H839" s="12">
        <f>G839/10</f>
        <v>0</v>
      </c>
      <c r="I839" s="12">
        <f t="shared" si="176"/>
        <v>0</v>
      </c>
      <c r="J839" s="12">
        <v>7194</v>
      </c>
      <c r="K839" s="12">
        <f>E839-J839</f>
        <v>1806</v>
      </c>
      <c r="L839" s="11">
        <f>F839*K839</f>
        <v>0</v>
      </c>
      <c r="M839" s="11"/>
    </row>
    <row r="840" spans="2:13" ht="27" customHeight="1">
      <c r="B840" s="30"/>
      <c r="C840" s="10"/>
      <c r="D840" s="11"/>
      <c r="E840" s="12"/>
      <c r="F840" s="12"/>
      <c r="G840" s="12">
        <f>E840*F840</f>
        <v>0</v>
      </c>
      <c r="H840" s="12">
        <f>G840/10</f>
        <v>0</v>
      </c>
      <c r="I840" s="12">
        <f t="shared" si="176"/>
        <v>0</v>
      </c>
      <c r="J840" s="12"/>
      <c r="K840" s="12">
        <f>E840-J840</f>
        <v>0</v>
      </c>
      <c r="L840" s="11">
        <f>F840*K840</f>
        <v>0</v>
      </c>
      <c r="M840" s="11"/>
    </row>
    <row r="841" spans="2:13" ht="27" customHeight="1">
      <c r="B841" s="30"/>
      <c r="C841" s="10"/>
      <c r="D841" s="11"/>
      <c r="E841" s="12"/>
      <c r="F841" s="12"/>
      <c r="G841" s="12">
        <f>E841*F841</f>
        <v>0</v>
      </c>
      <c r="H841" s="12">
        <f>G841/10</f>
        <v>0</v>
      </c>
      <c r="I841" s="12">
        <f t="shared" si="176"/>
        <v>0</v>
      </c>
      <c r="J841" s="12"/>
      <c r="K841" s="12">
        <f>E841-J841</f>
        <v>0</v>
      </c>
      <c r="L841" s="11">
        <f>F841*K841</f>
        <v>0</v>
      </c>
      <c r="M841" s="11"/>
    </row>
    <row r="842" spans="2:13" ht="27" customHeight="1">
      <c r="B842" s="38"/>
      <c r="C842" s="18"/>
      <c r="D842" s="19" t="s">
        <v>405</v>
      </c>
      <c r="E842" s="20"/>
      <c r="F842" s="20"/>
      <c r="G842" s="20">
        <f>SUM(G839:G841)</f>
        <v>0</v>
      </c>
      <c r="H842" s="20">
        <f>SUM(H839:H841)</f>
        <v>0</v>
      </c>
      <c r="I842" s="20">
        <f t="shared" si="176"/>
        <v>0</v>
      </c>
      <c r="J842" s="20"/>
      <c r="K842" s="20"/>
      <c r="L842" s="20">
        <f>SUM(L839:L841)</f>
        <v>0</v>
      </c>
      <c r="M842" s="19"/>
    </row>
    <row r="843" spans="2:13" ht="27" customHeight="1">
      <c r="B843" s="27" t="s">
        <v>796</v>
      </c>
      <c r="C843" s="10" t="s">
        <v>23</v>
      </c>
      <c r="D843" s="11" t="s">
        <v>97</v>
      </c>
      <c r="E843" s="12">
        <v>340</v>
      </c>
      <c r="F843" s="12"/>
      <c r="G843" s="12">
        <f>E843*F843</f>
        <v>0</v>
      </c>
      <c r="H843" s="12">
        <f>G843/10</f>
        <v>0</v>
      </c>
      <c r="I843" s="12">
        <f t="shared" ref="I843:I861" si="181">G843+H843</f>
        <v>0</v>
      </c>
      <c r="J843" s="12">
        <v>300</v>
      </c>
      <c r="K843" s="12">
        <f>E843-J843</f>
        <v>40</v>
      </c>
      <c r="L843" s="11">
        <f>F843*K843</f>
        <v>0</v>
      </c>
      <c r="M843" s="11"/>
    </row>
    <row r="844" spans="2:13" ht="27" customHeight="1">
      <c r="B844" s="30"/>
      <c r="C844" s="10" t="s">
        <v>45</v>
      </c>
      <c r="D844" s="11" t="s">
        <v>797</v>
      </c>
      <c r="E844" s="12">
        <v>110</v>
      </c>
      <c r="F844" s="12"/>
      <c r="G844" s="12">
        <f>E844*F844</f>
        <v>0</v>
      </c>
      <c r="H844" s="12">
        <f>G844/10</f>
        <v>0</v>
      </c>
      <c r="I844" s="12">
        <f t="shared" si="181"/>
        <v>0</v>
      </c>
      <c r="J844" s="12">
        <v>110</v>
      </c>
      <c r="K844" s="12">
        <f>E844-J844</f>
        <v>0</v>
      </c>
      <c r="L844" s="11">
        <f>F844*K844</f>
        <v>0</v>
      </c>
      <c r="M844" s="11"/>
    </row>
    <row r="845" spans="2:13" ht="27" customHeight="1">
      <c r="B845" s="30"/>
      <c r="C845" s="10"/>
      <c r="D845" s="11"/>
      <c r="E845" s="12"/>
      <c r="F845" s="12"/>
      <c r="G845" s="12">
        <f>E845*F845</f>
        <v>0</v>
      </c>
      <c r="H845" s="12">
        <f>G845/10</f>
        <v>0</v>
      </c>
      <c r="I845" s="12">
        <f t="shared" si="181"/>
        <v>0</v>
      </c>
      <c r="J845" s="12"/>
      <c r="K845" s="12">
        <f>E845-J845</f>
        <v>0</v>
      </c>
      <c r="L845" s="11">
        <f>F845*K845</f>
        <v>0</v>
      </c>
      <c r="M845" s="11"/>
    </row>
    <row r="846" spans="2:13" ht="27" customHeight="1">
      <c r="B846" s="38"/>
      <c r="C846" s="18"/>
      <c r="D846" s="19" t="s">
        <v>405</v>
      </c>
      <c r="E846" s="20"/>
      <c r="F846" s="20"/>
      <c r="G846" s="20">
        <f>SUM(G843:G845)</f>
        <v>0</v>
      </c>
      <c r="H846" s="20">
        <f>SUM(H843:H845)</f>
        <v>0</v>
      </c>
      <c r="I846" s="20">
        <f t="shared" si="181"/>
        <v>0</v>
      </c>
      <c r="J846" s="20"/>
      <c r="K846" s="20"/>
      <c r="L846" s="20">
        <f>SUM(L843:L845)</f>
        <v>0</v>
      </c>
      <c r="M846" s="19"/>
    </row>
    <row r="847" spans="2:13" ht="27" customHeight="1">
      <c r="B847" s="27" t="s">
        <v>798</v>
      </c>
      <c r="C847" s="10" t="s">
        <v>20</v>
      </c>
      <c r="D847" s="11" t="s">
        <v>799</v>
      </c>
      <c r="E847" s="12">
        <v>1200</v>
      </c>
      <c r="F847" s="12"/>
      <c r="G847" s="12">
        <f>E847*F847</f>
        <v>0</v>
      </c>
      <c r="H847" s="12">
        <f>G847/10</f>
        <v>0</v>
      </c>
      <c r="I847" s="12">
        <f t="shared" si="181"/>
        <v>0</v>
      </c>
      <c r="J847" s="12">
        <v>910</v>
      </c>
      <c r="K847" s="12">
        <f>E847-J847</f>
        <v>290</v>
      </c>
      <c r="L847" s="72">
        <f>F847*K847</f>
        <v>0</v>
      </c>
      <c r="M847" s="11"/>
    </row>
    <row r="848" spans="2:13" ht="27" customHeight="1">
      <c r="B848" s="30"/>
      <c r="C848" s="10" t="s">
        <v>20</v>
      </c>
      <c r="D848" s="11" t="s">
        <v>800</v>
      </c>
      <c r="E848" s="12">
        <v>1250</v>
      </c>
      <c r="F848" s="12"/>
      <c r="G848" s="12">
        <f>E848*F848</f>
        <v>0</v>
      </c>
      <c r="H848" s="12">
        <f>G848/10</f>
        <v>0</v>
      </c>
      <c r="I848" s="12">
        <f t="shared" si="181"/>
        <v>0</v>
      </c>
      <c r="J848" s="12">
        <v>1010</v>
      </c>
      <c r="K848" s="12">
        <f>E848-J848</f>
        <v>240</v>
      </c>
      <c r="L848" s="72">
        <f>F848*K848</f>
        <v>0</v>
      </c>
      <c r="M848" s="11"/>
    </row>
    <row r="849" spans="2:13" ht="27" customHeight="1">
      <c r="B849" s="30"/>
      <c r="C849" s="10" t="s">
        <v>23</v>
      </c>
      <c r="D849" s="11" t="s">
        <v>801</v>
      </c>
      <c r="E849" s="12">
        <v>700</v>
      </c>
      <c r="F849" s="12"/>
      <c r="G849" s="12">
        <f>E849*F849</f>
        <v>0</v>
      </c>
      <c r="H849" s="12">
        <f>G849/10</f>
        <v>0</v>
      </c>
      <c r="I849" s="12">
        <f t="shared" si="181"/>
        <v>0</v>
      </c>
      <c r="J849" s="12">
        <v>539</v>
      </c>
      <c r="K849" s="12">
        <f>E849-J849</f>
        <v>161</v>
      </c>
      <c r="L849" s="11">
        <f>F849*K849</f>
        <v>0</v>
      </c>
      <c r="M849" s="11"/>
    </row>
    <row r="850" spans="2:13" ht="27" customHeight="1">
      <c r="B850" s="30"/>
      <c r="C850" s="10" t="s">
        <v>23</v>
      </c>
      <c r="D850" s="11" t="s">
        <v>802</v>
      </c>
      <c r="E850" s="12">
        <v>710</v>
      </c>
      <c r="F850" s="12"/>
      <c r="G850" s="12">
        <f>E850*F850</f>
        <v>0</v>
      </c>
      <c r="H850" s="12">
        <f>G850/10</f>
        <v>0</v>
      </c>
      <c r="I850" s="12">
        <f t="shared" si="181"/>
        <v>0</v>
      </c>
      <c r="J850" s="12">
        <v>625</v>
      </c>
      <c r="K850" s="12">
        <f>E850-J850</f>
        <v>85</v>
      </c>
      <c r="L850" s="11">
        <f>F850*K850</f>
        <v>0</v>
      </c>
      <c r="M850" s="11"/>
    </row>
    <row r="851" spans="2:13" ht="27" customHeight="1">
      <c r="B851" s="38"/>
      <c r="C851" s="18"/>
      <c r="D851" s="19" t="s">
        <v>405</v>
      </c>
      <c r="E851" s="20"/>
      <c r="F851" s="20">
        <f>SUM(F847:F850)</f>
        <v>0</v>
      </c>
      <c r="G851" s="20">
        <f>SUM(G847:G850)</f>
        <v>0</v>
      </c>
      <c r="H851" s="20">
        <f>SUM(H847:H850)</f>
        <v>0</v>
      </c>
      <c r="I851" s="20">
        <f t="shared" si="181"/>
        <v>0</v>
      </c>
      <c r="J851" s="20"/>
      <c r="K851" s="20"/>
      <c r="L851" s="20">
        <f>SUM(L847:L850)</f>
        <v>0</v>
      </c>
      <c r="M851" s="81" t="e">
        <f>L851/G851</f>
        <v>#DIV/0!</v>
      </c>
    </row>
    <row r="852" spans="2:13" ht="27" customHeight="1">
      <c r="B852" s="95" t="s">
        <v>803</v>
      </c>
      <c r="C852" s="10" t="s">
        <v>23</v>
      </c>
      <c r="D852" s="11" t="s">
        <v>804</v>
      </c>
      <c r="E852" s="12">
        <v>320</v>
      </c>
      <c r="F852" s="12"/>
      <c r="G852" s="12">
        <f>E852*F852</f>
        <v>0</v>
      </c>
      <c r="H852" s="12">
        <f>G852/10</f>
        <v>0</v>
      </c>
      <c r="I852" s="12">
        <f t="shared" si="181"/>
        <v>0</v>
      </c>
      <c r="J852" s="12">
        <v>270</v>
      </c>
      <c r="K852" s="12">
        <f>E852-J852</f>
        <v>50</v>
      </c>
      <c r="L852" s="72">
        <f>F852*K852</f>
        <v>0</v>
      </c>
      <c r="M852" s="11"/>
    </row>
    <row r="853" spans="2:13" ht="27" customHeight="1">
      <c r="B853" s="96"/>
      <c r="C853" s="10" t="s">
        <v>23</v>
      </c>
      <c r="D853" s="11" t="s">
        <v>805</v>
      </c>
      <c r="E853" s="12">
        <v>360</v>
      </c>
      <c r="F853" s="12">
        <v>10150</v>
      </c>
      <c r="G853" s="12">
        <f>E853*F853</f>
        <v>3654000</v>
      </c>
      <c r="H853" s="12">
        <f>G853/10</f>
        <v>365400</v>
      </c>
      <c r="I853" s="12">
        <f>G853+H853</f>
        <v>4019400</v>
      </c>
      <c r="J853" s="12">
        <v>320</v>
      </c>
      <c r="K853" s="12">
        <f>E853-J853</f>
        <v>40</v>
      </c>
      <c r="L853" s="72">
        <f>F853*K853</f>
        <v>406000</v>
      </c>
      <c r="M853" s="11"/>
    </row>
    <row r="854" spans="2:13" ht="27" customHeight="1">
      <c r="B854" s="96"/>
      <c r="C854" s="10" t="s">
        <v>99</v>
      </c>
      <c r="D854" s="11" t="s">
        <v>806</v>
      </c>
      <c r="E854" s="12">
        <v>200000</v>
      </c>
      <c r="F854" s="12"/>
      <c r="G854" s="12">
        <f>E854*F854</f>
        <v>0</v>
      </c>
      <c r="H854" s="12">
        <f>G854/10</f>
        <v>0</v>
      </c>
      <c r="I854" s="12">
        <f t="shared" si="181"/>
        <v>0</v>
      </c>
      <c r="J854" s="12"/>
      <c r="K854" s="12">
        <f>E854-J854</f>
        <v>200000</v>
      </c>
      <c r="L854" s="72">
        <f>F854*K854</f>
        <v>0</v>
      </c>
      <c r="M854" s="11"/>
    </row>
    <row r="855" spans="2:13" ht="27" customHeight="1">
      <c r="B855" s="97"/>
      <c r="C855" s="18"/>
      <c r="D855" s="19" t="s">
        <v>405</v>
      </c>
      <c r="E855" s="20"/>
      <c r="F855" s="20">
        <f>SUM(F852:F854)</f>
        <v>10150</v>
      </c>
      <c r="G855" s="20">
        <f>SUM(G852:G854)</f>
        <v>3654000</v>
      </c>
      <c r="H855" s="20">
        <f>SUM(H852:H854)</f>
        <v>365400</v>
      </c>
      <c r="I855" s="20">
        <f t="shared" si="181"/>
        <v>4019400</v>
      </c>
      <c r="J855" s="20"/>
      <c r="K855" s="20"/>
      <c r="L855" s="20">
        <f>SUM(L852:L854)</f>
        <v>406000</v>
      </c>
      <c r="M855" s="81">
        <f>L855/G855</f>
        <v>0.1111111111111111</v>
      </c>
    </row>
    <row r="856" spans="2:13" ht="27" customHeight="1">
      <c r="B856" s="27" t="s">
        <v>807</v>
      </c>
      <c r="C856" s="10" t="s">
        <v>20</v>
      </c>
      <c r="D856" s="11" t="s">
        <v>808</v>
      </c>
      <c r="E856" s="12">
        <v>2000</v>
      </c>
      <c r="F856" s="12"/>
      <c r="G856" s="12">
        <f>E856*F856</f>
        <v>0</v>
      </c>
      <c r="H856" s="12">
        <f>G856/10</f>
        <v>0</v>
      </c>
      <c r="I856" s="12">
        <f t="shared" si="181"/>
        <v>0</v>
      </c>
      <c r="J856" s="12">
        <v>920</v>
      </c>
      <c r="K856" s="12">
        <f>E856-J856</f>
        <v>1080</v>
      </c>
      <c r="L856" s="11">
        <f>F856*K856</f>
        <v>0</v>
      </c>
      <c r="M856" s="11"/>
    </row>
    <row r="857" spans="2:13" ht="27" customHeight="1">
      <c r="B857" s="30"/>
      <c r="C857" s="10" t="s">
        <v>17</v>
      </c>
      <c r="D857" s="11" t="s">
        <v>809</v>
      </c>
      <c r="E857" s="12">
        <v>8400</v>
      </c>
      <c r="F857" s="12"/>
      <c r="G857" s="12">
        <f>E857*F857</f>
        <v>0</v>
      </c>
      <c r="H857" s="12">
        <f>G857/10</f>
        <v>0</v>
      </c>
      <c r="I857" s="12">
        <f t="shared" si="181"/>
        <v>0</v>
      </c>
      <c r="J857" s="12">
        <v>7700</v>
      </c>
      <c r="K857" s="12">
        <f>E857-J857</f>
        <v>700</v>
      </c>
      <c r="L857" s="11">
        <f>F857*K857</f>
        <v>0</v>
      </c>
      <c r="M857" s="11"/>
    </row>
    <row r="858" spans="2:13" ht="27" customHeight="1">
      <c r="B858" s="30"/>
      <c r="C858" s="10"/>
      <c r="D858" s="11"/>
      <c r="E858" s="12"/>
      <c r="F858" s="12"/>
      <c r="G858" s="12">
        <f>E858*F858</f>
        <v>0</v>
      </c>
      <c r="H858" s="12">
        <f>G858/10</f>
        <v>0</v>
      </c>
      <c r="I858" s="12">
        <f t="shared" si="181"/>
        <v>0</v>
      </c>
      <c r="J858" s="12"/>
      <c r="K858" s="12">
        <f>E858-J858</f>
        <v>0</v>
      </c>
      <c r="L858" s="11">
        <f>F858*K858</f>
        <v>0</v>
      </c>
      <c r="M858" s="11"/>
    </row>
    <row r="859" spans="2:13" ht="27" customHeight="1">
      <c r="B859" s="38"/>
      <c r="C859" s="18"/>
      <c r="D859" s="19" t="s">
        <v>405</v>
      </c>
      <c r="E859" s="20"/>
      <c r="F859" s="20"/>
      <c r="G859" s="20">
        <f>SUM(G856:G858)</f>
        <v>0</v>
      </c>
      <c r="H859" s="20">
        <f>SUM(H856:H858)</f>
        <v>0</v>
      </c>
      <c r="I859" s="20">
        <f t="shared" si="181"/>
        <v>0</v>
      </c>
      <c r="J859" s="20"/>
      <c r="K859" s="20"/>
      <c r="L859" s="20">
        <f>SUM(L856:L858)</f>
        <v>0</v>
      </c>
      <c r="M859" s="19"/>
    </row>
    <row r="860" spans="2:13" ht="27" customHeight="1">
      <c r="B860" s="27" t="s">
        <v>810</v>
      </c>
      <c r="C860" s="10" t="s">
        <v>14</v>
      </c>
      <c r="D860" s="11" t="s">
        <v>811</v>
      </c>
      <c r="E860" s="12">
        <v>7500</v>
      </c>
      <c r="F860" s="12"/>
      <c r="G860" s="12">
        <f>E860*F860</f>
        <v>0</v>
      </c>
      <c r="H860" s="12">
        <f>G860/10</f>
        <v>0</v>
      </c>
      <c r="I860" s="12">
        <f t="shared" si="181"/>
        <v>0</v>
      </c>
      <c r="J860" s="12">
        <v>6150</v>
      </c>
      <c r="K860" s="12">
        <f>E860-J860</f>
        <v>1350</v>
      </c>
      <c r="L860" s="12">
        <f>F860*K860</f>
        <v>0</v>
      </c>
      <c r="M860" s="11"/>
    </row>
    <row r="861" spans="2:13" ht="27" customHeight="1">
      <c r="B861" s="30"/>
      <c r="C861" s="10"/>
      <c r="D861" s="11"/>
      <c r="E861" s="12"/>
      <c r="F861" s="12"/>
      <c r="G861" s="12">
        <f>E861*F861</f>
        <v>0</v>
      </c>
      <c r="H861" s="12">
        <f>G861/10</f>
        <v>0</v>
      </c>
      <c r="I861" s="12">
        <f t="shared" si="181"/>
        <v>0</v>
      </c>
      <c r="J861" s="12"/>
      <c r="K861" s="12"/>
      <c r="L861" s="12"/>
      <c r="M861" s="11"/>
    </row>
    <row r="862" spans="2:13" ht="27" customHeight="1">
      <c r="B862" s="38"/>
      <c r="C862" s="18"/>
      <c r="D862" s="19" t="s">
        <v>156</v>
      </c>
      <c r="E862" s="20"/>
      <c r="F862" s="20">
        <f>SUM(F860:F861)</f>
        <v>0</v>
      </c>
      <c r="G862" s="20">
        <f>SUM(G860:G861)</f>
        <v>0</v>
      </c>
      <c r="H862" s="20">
        <f>SUM(H860:H861)</f>
        <v>0</v>
      </c>
      <c r="I862" s="20">
        <f>SUM(I860:I861)</f>
        <v>0</v>
      </c>
      <c r="J862" s="20"/>
      <c r="K862" s="20"/>
      <c r="L862" s="20">
        <f>SUM(L860:L861)</f>
        <v>0</v>
      </c>
      <c r="M862" s="20">
        <f>SUM(M860:M861)</f>
        <v>0</v>
      </c>
    </row>
    <row r="863" spans="2:13" ht="27" customHeight="1">
      <c r="B863" s="27" t="s">
        <v>812</v>
      </c>
      <c r="C863" s="10" t="s">
        <v>20</v>
      </c>
      <c r="D863" s="11" t="s">
        <v>813</v>
      </c>
      <c r="E863" s="12">
        <v>1040</v>
      </c>
      <c r="F863" s="12"/>
      <c r="G863" s="12">
        <f>E863*F863</f>
        <v>0</v>
      </c>
      <c r="H863" s="12">
        <f>G863/10</f>
        <v>0</v>
      </c>
      <c r="I863" s="12">
        <f t="shared" ref="I863:I895" si="182">G863+H863</f>
        <v>0</v>
      </c>
      <c r="J863" s="12">
        <v>1010</v>
      </c>
      <c r="K863" s="12">
        <f>E863-J863</f>
        <v>30</v>
      </c>
      <c r="L863" s="11">
        <f>F863*K863</f>
        <v>0</v>
      </c>
      <c r="M863" s="71"/>
    </row>
    <row r="864" spans="2:13" ht="27" customHeight="1">
      <c r="B864" s="30"/>
      <c r="C864" s="10" t="s">
        <v>20</v>
      </c>
      <c r="D864" s="11" t="s">
        <v>814</v>
      </c>
      <c r="E864" s="12">
        <v>1040</v>
      </c>
      <c r="F864" s="12"/>
      <c r="G864" s="12">
        <f>E864*F864</f>
        <v>0</v>
      </c>
      <c r="H864" s="12">
        <f>G864/10</f>
        <v>0</v>
      </c>
      <c r="I864" s="12">
        <f t="shared" si="182"/>
        <v>0</v>
      </c>
      <c r="J864" s="12">
        <v>930</v>
      </c>
      <c r="K864" s="12">
        <f>E864-J864</f>
        <v>110</v>
      </c>
      <c r="L864" s="11">
        <f>F864*K864</f>
        <v>0</v>
      </c>
      <c r="M864" s="11"/>
    </row>
    <row r="865" spans="2:13" ht="27" customHeight="1">
      <c r="B865" s="30"/>
      <c r="C865" s="10" t="s">
        <v>17</v>
      </c>
      <c r="D865" s="11" t="s">
        <v>18</v>
      </c>
      <c r="E865" s="12">
        <v>10700</v>
      </c>
      <c r="F865" s="12"/>
      <c r="G865" s="12">
        <f>E865*F865</f>
        <v>0</v>
      </c>
      <c r="H865" s="12">
        <f>G865/10</f>
        <v>0</v>
      </c>
      <c r="I865" s="12">
        <f t="shared" si="182"/>
        <v>0</v>
      </c>
      <c r="J865" s="12">
        <v>7194</v>
      </c>
      <c r="K865" s="12">
        <f>E865-J865</f>
        <v>3506</v>
      </c>
      <c r="L865" s="11">
        <f>F865*K865</f>
        <v>0</v>
      </c>
      <c r="M865" s="11"/>
    </row>
    <row r="866" spans="2:13" ht="27" customHeight="1">
      <c r="B866" s="30"/>
      <c r="C866" s="10" t="s">
        <v>34</v>
      </c>
      <c r="D866" s="11" t="s">
        <v>815</v>
      </c>
      <c r="E866" s="12">
        <v>15000</v>
      </c>
      <c r="F866" s="12"/>
      <c r="G866" s="12">
        <f>E866*F866</f>
        <v>0</v>
      </c>
      <c r="H866" s="12">
        <f>G866/10</f>
        <v>0</v>
      </c>
      <c r="I866" s="12">
        <f t="shared" si="182"/>
        <v>0</v>
      </c>
      <c r="J866" s="12">
        <v>13190</v>
      </c>
      <c r="K866" s="12">
        <f>E866-J866</f>
        <v>1810</v>
      </c>
      <c r="L866" s="11">
        <f>F866*K866</f>
        <v>0</v>
      </c>
      <c r="M866" s="11"/>
    </row>
    <row r="867" spans="2:13" ht="27" customHeight="1">
      <c r="B867" s="30"/>
      <c r="C867" s="10" t="s">
        <v>14</v>
      </c>
      <c r="D867" s="11" t="s">
        <v>748</v>
      </c>
      <c r="E867" s="12">
        <v>10700</v>
      </c>
      <c r="F867" s="12"/>
      <c r="G867" s="12">
        <f>E867*F867</f>
        <v>0</v>
      </c>
      <c r="H867" s="12">
        <f>G867/10</f>
        <v>0</v>
      </c>
      <c r="I867" s="12">
        <f t="shared" si="182"/>
        <v>0</v>
      </c>
      <c r="J867" s="12">
        <v>7700</v>
      </c>
      <c r="K867" s="12">
        <f>E867-J867</f>
        <v>3000</v>
      </c>
      <c r="L867" s="11">
        <f>F867*K867</f>
        <v>0</v>
      </c>
      <c r="M867" s="11"/>
    </row>
    <row r="868" spans="2:13" ht="27" customHeight="1">
      <c r="B868" s="38"/>
      <c r="C868" s="18"/>
      <c r="D868" s="19" t="s">
        <v>405</v>
      </c>
      <c r="E868" s="20"/>
      <c r="F868" s="20"/>
      <c r="G868" s="20">
        <f>SUM(G863:G867)</f>
        <v>0</v>
      </c>
      <c r="H868" s="20">
        <f>SUM(H863:H867)</f>
        <v>0</v>
      </c>
      <c r="I868" s="20">
        <f t="shared" si="182"/>
        <v>0</v>
      </c>
      <c r="J868" s="20"/>
      <c r="K868" s="20"/>
      <c r="L868" s="20">
        <f>SUM(L863:L866)</f>
        <v>0</v>
      </c>
      <c r="M868" s="19"/>
    </row>
    <row r="869" spans="2:13" ht="27" customHeight="1">
      <c r="B869" s="27" t="s">
        <v>816</v>
      </c>
      <c r="C869" s="10" t="s">
        <v>20</v>
      </c>
      <c r="D869" s="11" t="s">
        <v>817</v>
      </c>
      <c r="E869" s="12">
        <v>1150</v>
      </c>
      <c r="F869" s="12"/>
      <c r="G869" s="12">
        <f t="shared" ref="G869:G874" si="183">E869*F869</f>
        <v>0</v>
      </c>
      <c r="H869" s="12">
        <f t="shared" ref="H869:H874" si="184">G869/10</f>
        <v>0</v>
      </c>
      <c r="I869" s="12">
        <f t="shared" si="182"/>
        <v>0</v>
      </c>
      <c r="J869" s="12">
        <v>930</v>
      </c>
      <c r="K869" s="12">
        <f t="shared" ref="K869:K874" si="185">E869-J869</f>
        <v>220</v>
      </c>
      <c r="L869" s="11">
        <f t="shared" ref="L869:L874" si="186">F869*K869</f>
        <v>0</v>
      </c>
      <c r="M869" s="71"/>
    </row>
    <row r="870" spans="2:13" ht="27" customHeight="1">
      <c r="B870" s="30"/>
      <c r="C870" s="10" t="s">
        <v>23</v>
      </c>
      <c r="D870" s="11" t="s">
        <v>818</v>
      </c>
      <c r="E870" s="12">
        <v>430</v>
      </c>
      <c r="F870" s="12"/>
      <c r="G870" s="12">
        <f t="shared" si="183"/>
        <v>0</v>
      </c>
      <c r="H870" s="12">
        <f t="shared" si="184"/>
        <v>0</v>
      </c>
      <c r="I870" s="12">
        <f t="shared" si="182"/>
        <v>0</v>
      </c>
      <c r="J870" s="12">
        <v>340</v>
      </c>
      <c r="K870" s="12">
        <f t="shared" si="185"/>
        <v>90</v>
      </c>
      <c r="L870" s="11">
        <f t="shared" si="186"/>
        <v>0</v>
      </c>
      <c r="M870" s="71"/>
    </row>
    <row r="871" spans="2:13" ht="27" customHeight="1">
      <c r="B871" s="30"/>
      <c r="C871" s="10" t="s">
        <v>23</v>
      </c>
      <c r="D871" s="11" t="s">
        <v>819</v>
      </c>
      <c r="E871" s="12">
        <v>430</v>
      </c>
      <c r="F871" s="12"/>
      <c r="G871" s="12">
        <f t="shared" si="183"/>
        <v>0</v>
      </c>
      <c r="H871" s="12">
        <f t="shared" si="184"/>
        <v>0</v>
      </c>
      <c r="I871" s="12">
        <f t="shared" si="182"/>
        <v>0</v>
      </c>
      <c r="J871" s="12">
        <v>340</v>
      </c>
      <c r="K871" s="12">
        <f t="shared" si="185"/>
        <v>90</v>
      </c>
      <c r="L871" s="11">
        <f t="shared" si="186"/>
        <v>0</v>
      </c>
      <c r="M871" s="71"/>
    </row>
    <row r="872" spans="2:13" ht="27" customHeight="1">
      <c r="B872" s="30"/>
      <c r="C872" s="10" t="s">
        <v>20</v>
      </c>
      <c r="D872" s="11" t="s">
        <v>820</v>
      </c>
      <c r="E872" s="12">
        <v>1150</v>
      </c>
      <c r="F872" s="12"/>
      <c r="G872" s="12">
        <f t="shared" si="183"/>
        <v>0</v>
      </c>
      <c r="H872" s="12">
        <f t="shared" si="184"/>
        <v>0</v>
      </c>
      <c r="I872" s="12">
        <f t="shared" si="182"/>
        <v>0</v>
      </c>
      <c r="J872" s="12">
        <v>930</v>
      </c>
      <c r="K872" s="12">
        <f t="shared" si="185"/>
        <v>220</v>
      </c>
      <c r="L872" s="11">
        <f t="shared" si="186"/>
        <v>0</v>
      </c>
      <c r="M872" s="11"/>
    </row>
    <row r="873" spans="2:13" ht="27" customHeight="1">
      <c r="B873" s="30"/>
      <c r="C873" s="10" t="s">
        <v>23</v>
      </c>
      <c r="D873" s="11" t="s">
        <v>821</v>
      </c>
      <c r="E873" s="12">
        <v>730</v>
      </c>
      <c r="F873" s="12"/>
      <c r="G873" s="12">
        <f t="shared" si="183"/>
        <v>0</v>
      </c>
      <c r="H873" s="12">
        <f t="shared" si="184"/>
        <v>0</v>
      </c>
      <c r="I873" s="12">
        <f t="shared" si="182"/>
        <v>0</v>
      </c>
      <c r="J873" s="37"/>
      <c r="K873" s="12">
        <f t="shared" si="185"/>
        <v>730</v>
      </c>
      <c r="L873" s="11">
        <f t="shared" si="186"/>
        <v>0</v>
      </c>
      <c r="M873" s="71"/>
    </row>
    <row r="874" spans="2:13" ht="27" customHeight="1">
      <c r="B874" s="30"/>
      <c r="C874" s="10" t="s">
        <v>20</v>
      </c>
      <c r="D874" s="11" t="s">
        <v>822</v>
      </c>
      <c r="E874" s="12">
        <v>1150</v>
      </c>
      <c r="F874" s="12"/>
      <c r="G874" s="12">
        <f t="shared" si="183"/>
        <v>0</v>
      </c>
      <c r="H874" s="12">
        <f t="shared" si="184"/>
        <v>0</v>
      </c>
      <c r="I874" s="12">
        <f t="shared" si="182"/>
        <v>0</v>
      </c>
      <c r="J874" s="12">
        <v>930</v>
      </c>
      <c r="K874" s="12">
        <f t="shared" si="185"/>
        <v>220</v>
      </c>
      <c r="L874" s="11">
        <f t="shared" si="186"/>
        <v>0</v>
      </c>
      <c r="M874" s="11"/>
    </row>
    <row r="875" spans="2:13" ht="27" customHeight="1">
      <c r="B875" s="38"/>
      <c r="C875" s="18"/>
      <c r="D875" s="19" t="s">
        <v>405</v>
      </c>
      <c r="E875" s="20"/>
      <c r="F875" s="20"/>
      <c r="G875" s="20">
        <f>SUM(G869:G874)</f>
        <v>0</v>
      </c>
      <c r="H875" s="20">
        <f>SUM(H869:H874)</f>
        <v>0</v>
      </c>
      <c r="I875" s="20">
        <f t="shared" si="182"/>
        <v>0</v>
      </c>
      <c r="J875" s="20"/>
      <c r="K875" s="20"/>
      <c r="L875" s="20">
        <f>SUM(L869:L874)</f>
        <v>0</v>
      </c>
      <c r="M875" s="19"/>
    </row>
    <row r="876" spans="2:13" ht="27" customHeight="1">
      <c r="B876" s="27" t="s">
        <v>823</v>
      </c>
      <c r="C876" s="10" t="s">
        <v>34</v>
      </c>
      <c r="D876" s="11" t="s">
        <v>824</v>
      </c>
      <c r="E876" s="12">
        <v>36500</v>
      </c>
      <c r="F876" s="12"/>
      <c r="G876" s="12">
        <f>E876*F876</f>
        <v>0</v>
      </c>
      <c r="H876" s="12">
        <f>G876/10</f>
        <v>0</v>
      </c>
      <c r="I876" s="12">
        <f t="shared" si="182"/>
        <v>0</v>
      </c>
      <c r="J876" s="12">
        <v>28800</v>
      </c>
      <c r="K876" s="12">
        <f>E876-J876</f>
        <v>7700</v>
      </c>
      <c r="L876" s="11">
        <f>F876*K876</f>
        <v>0</v>
      </c>
      <c r="M876" s="11"/>
    </row>
    <row r="877" spans="2:13" ht="27" customHeight="1">
      <c r="B877" s="13"/>
      <c r="C877" s="10" t="s">
        <v>34</v>
      </c>
      <c r="D877" s="11" t="s">
        <v>825</v>
      </c>
      <c r="E877" s="12">
        <v>30500</v>
      </c>
      <c r="F877" s="12"/>
      <c r="G877" s="12">
        <f>E877*F877</f>
        <v>0</v>
      </c>
      <c r="H877" s="12">
        <f>G877/10</f>
        <v>0</v>
      </c>
      <c r="I877" s="12">
        <f t="shared" si="182"/>
        <v>0</v>
      </c>
      <c r="J877" s="12">
        <v>24000</v>
      </c>
      <c r="K877" s="12">
        <f>E877-J877</f>
        <v>6500</v>
      </c>
      <c r="L877" s="72">
        <f>F877*K877</f>
        <v>0</v>
      </c>
      <c r="M877" s="11"/>
    </row>
    <row r="878" spans="2:13" ht="27" customHeight="1">
      <c r="B878" s="13"/>
      <c r="C878" s="10" t="s">
        <v>34</v>
      </c>
      <c r="D878" s="11" t="s">
        <v>826</v>
      </c>
      <c r="E878" s="12">
        <v>30500</v>
      </c>
      <c r="F878" s="12"/>
      <c r="G878" s="12">
        <f>E878*F878</f>
        <v>0</v>
      </c>
      <c r="H878" s="12">
        <f>G878/10</f>
        <v>0</v>
      </c>
      <c r="I878" s="12">
        <f t="shared" si="182"/>
        <v>0</v>
      </c>
      <c r="J878" s="12">
        <v>25300</v>
      </c>
      <c r="K878" s="12">
        <f>E878-J878</f>
        <v>5200</v>
      </c>
      <c r="L878" s="11">
        <f>F878*K878</f>
        <v>0</v>
      </c>
      <c r="M878" s="11"/>
    </row>
    <row r="879" spans="2:13" ht="27" customHeight="1">
      <c r="B879" s="17"/>
      <c r="C879" s="18"/>
      <c r="D879" s="19" t="s">
        <v>405</v>
      </c>
      <c r="E879" s="20"/>
      <c r="F879" s="20"/>
      <c r="G879" s="20">
        <f>SUM(G876:G878)</f>
        <v>0</v>
      </c>
      <c r="H879" s="20">
        <f>SUM(H876:H878)</f>
        <v>0</v>
      </c>
      <c r="I879" s="20">
        <f t="shared" si="182"/>
        <v>0</v>
      </c>
      <c r="J879" s="20"/>
      <c r="K879" s="20"/>
      <c r="L879" s="20">
        <f>SUM(L876:L878)</f>
        <v>0</v>
      </c>
      <c r="M879" s="81" t="e">
        <f>L879/G879</f>
        <v>#DIV/0!</v>
      </c>
    </row>
    <row r="880" spans="2:13" ht="27" customHeight="1">
      <c r="B880" s="9" t="s">
        <v>827</v>
      </c>
      <c r="C880" s="10" t="s">
        <v>34</v>
      </c>
      <c r="D880" s="11" t="s">
        <v>828</v>
      </c>
      <c r="E880" s="12">
        <v>36500</v>
      </c>
      <c r="F880" s="12"/>
      <c r="G880" s="12">
        <f>E880*F880</f>
        <v>0</v>
      </c>
      <c r="H880" s="12">
        <f>G880/10</f>
        <v>0</v>
      </c>
      <c r="I880" s="12">
        <f t="shared" si="182"/>
        <v>0</v>
      </c>
      <c r="J880" s="12">
        <v>24000</v>
      </c>
      <c r="K880" s="12">
        <f>E880-J880</f>
        <v>12500</v>
      </c>
      <c r="L880" s="72">
        <f>F880*K880</f>
        <v>0</v>
      </c>
      <c r="M880" s="11"/>
    </row>
    <row r="881" spans="2:13" ht="27" customHeight="1">
      <c r="B881" s="13"/>
      <c r="C881" s="10" t="s">
        <v>34</v>
      </c>
      <c r="D881" s="11" t="s">
        <v>829</v>
      </c>
      <c r="E881" s="12">
        <v>30500</v>
      </c>
      <c r="F881" s="12"/>
      <c r="G881" s="12">
        <f>E881*F881</f>
        <v>0</v>
      </c>
      <c r="H881" s="12">
        <f>G881/10</f>
        <v>0</v>
      </c>
      <c r="I881" s="12">
        <f t="shared" si="182"/>
        <v>0</v>
      </c>
      <c r="J881" s="12">
        <v>24000</v>
      </c>
      <c r="K881" s="12">
        <f>E881-J881</f>
        <v>6500</v>
      </c>
      <c r="L881" s="72">
        <f>F881*K881</f>
        <v>0</v>
      </c>
      <c r="M881" s="11"/>
    </row>
    <row r="882" spans="2:13" ht="27" customHeight="1">
      <c r="B882" s="13"/>
      <c r="C882" s="10" t="s">
        <v>34</v>
      </c>
      <c r="D882" s="11" t="s">
        <v>830</v>
      </c>
      <c r="E882" s="12">
        <v>30500</v>
      </c>
      <c r="F882" s="12"/>
      <c r="G882" s="12">
        <f>E882*F882</f>
        <v>0</v>
      </c>
      <c r="H882" s="12">
        <f>G882/10</f>
        <v>0</v>
      </c>
      <c r="I882" s="12">
        <f t="shared" si="182"/>
        <v>0</v>
      </c>
      <c r="J882" s="12">
        <v>25300</v>
      </c>
      <c r="K882" s="12">
        <f>E882-J882</f>
        <v>5200</v>
      </c>
      <c r="L882" s="11">
        <f>F882*K882</f>
        <v>0</v>
      </c>
      <c r="M882" s="11"/>
    </row>
    <row r="883" spans="2:13" ht="27" customHeight="1">
      <c r="B883" s="17"/>
      <c r="C883" s="18"/>
      <c r="D883" s="19" t="s">
        <v>405</v>
      </c>
      <c r="E883" s="20"/>
      <c r="F883" s="20"/>
      <c r="G883" s="20">
        <f>SUM(G880:G882)</f>
        <v>0</v>
      </c>
      <c r="H883" s="20">
        <f>SUM(H880:H882)</f>
        <v>0</v>
      </c>
      <c r="I883" s="20">
        <f t="shared" si="182"/>
        <v>0</v>
      </c>
      <c r="J883" s="20"/>
      <c r="K883" s="20"/>
      <c r="L883" s="20">
        <f>SUM(L880:L882)</f>
        <v>0</v>
      </c>
      <c r="M883" s="81" t="e">
        <f>L883/G883</f>
        <v>#DIV/0!</v>
      </c>
    </row>
    <row r="884" spans="2:13" ht="27" customHeight="1">
      <c r="B884" s="9" t="s">
        <v>831</v>
      </c>
      <c r="C884" s="10" t="s">
        <v>23</v>
      </c>
      <c r="D884" s="11" t="s">
        <v>832</v>
      </c>
      <c r="E884" s="12">
        <v>360</v>
      </c>
      <c r="F884" s="12"/>
      <c r="G884" s="12">
        <f>E884*F884</f>
        <v>0</v>
      </c>
      <c r="H884" s="12">
        <f>G884/10</f>
        <v>0</v>
      </c>
      <c r="I884" s="12">
        <f t="shared" si="182"/>
        <v>0</v>
      </c>
      <c r="J884" s="12">
        <v>300</v>
      </c>
      <c r="K884" s="12">
        <f>E884-J884</f>
        <v>60</v>
      </c>
      <c r="L884" s="11">
        <f>F884*K884</f>
        <v>0</v>
      </c>
      <c r="M884" s="11"/>
    </row>
    <row r="885" spans="2:13" ht="27" customHeight="1">
      <c r="B885" s="13"/>
      <c r="C885" s="10" t="s">
        <v>99</v>
      </c>
      <c r="D885" s="11" t="s">
        <v>188</v>
      </c>
      <c r="E885" s="12">
        <v>300000</v>
      </c>
      <c r="F885" s="12"/>
      <c r="G885" s="12">
        <f>E885*F885</f>
        <v>0</v>
      </c>
      <c r="H885" s="12">
        <f>G885/10</f>
        <v>0</v>
      </c>
      <c r="I885" s="12">
        <f t="shared" si="182"/>
        <v>0</v>
      </c>
      <c r="J885" s="12"/>
      <c r="K885" s="12">
        <f>E885-J885</f>
        <v>300000</v>
      </c>
      <c r="L885" s="11">
        <f>F885*K885</f>
        <v>0</v>
      </c>
      <c r="M885" s="11"/>
    </row>
    <row r="886" spans="2:13" ht="27" customHeight="1">
      <c r="B886" s="17"/>
      <c r="C886" s="18"/>
      <c r="D886" s="19" t="s">
        <v>405</v>
      </c>
      <c r="E886" s="20"/>
      <c r="F886" s="20"/>
      <c r="G886" s="20">
        <f>SUM(G884:G885)</f>
        <v>0</v>
      </c>
      <c r="H886" s="20">
        <f>SUM(H884:H885)</f>
        <v>0</v>
      </c>
      <c r="I886" s="20">
        <f t="shared" si="182"/>
        <v>0</v>
      </c>
      <c r="J886" s="20"/>
      <c r="K886" s="20"/>
      <c r="L886" s="20">
        <f>L884+L885</f>
        <v>0</v>
      </c>
      <c r="M886" s="19"/>
    </row>
    <row r="887" spans="2:13" ht="27" customHeight="1">
      <c r="B887" s="82" t="s">
        <v>833</v>
      </c>
      <c r="C887" s="10" t="s">
        <v>20</v>
      </c>
      <c r="D887" s="11" t="s">
        <v>834</v>
      </c>
      <c r="E887" s="12">
        <v>1300</v>
      </c>
      <c r="F887" s="12"/>
      <c r="G887" s="12">
        <f>E887*F887</f>
        <v>0</v>
      </c>
      <c r="H887" s="12">
        <f>G887/10</f>
        <v>0</v>
      </c>
      <c r="I887" s="12">
        <f t="shared" si="182"/>
        <v>0</v>
      </c>
      <c r="J887" s="12">
        <v>910</v>
      </c>
      <c r="K887" s="12">
        <f>E887-J887</f>
        <v>390</v>
      </c>
      <c r="L887" s="11">
        <f>F887*K887</f>
        <v>0</v>
      </c>
      <c r="M887" s="11"/>
    </row>
    <row r="888" spans="2:13" ht="27" customHeight="1">
      <c r="B888" s="84"/>
      <c r="C888" s="10" t="s">
        <v>20</v>
      </c>
      <c r="D888" s="11" t="s">
        <v>835</v>
      </c>
      <c r="E888" s="12">
        <v>1300</v>
      </c>
      <c r="F888" s="12"/>
      <c r="G888" s="12">
        <f>E888*F888</f>
        <v>0</v>
      </c>
      <c r="H888" s="12">
        <f>G888/10</f>
        <v>0</v>
      </c>
      <c r="I888" s="12">
        <f t="shared" si="182"/>
        <v>0</v>
      </c>
      <c r="J888" s="12">
        <v>910</v>
      </c>
      <c r="K888" s="12">
        <f>E888-J888</f>
        <v>390</v>
      </c>
      <c r="L888" s="11">
        <f>F888*K888</f>
        <v>0</v>
      </c>
      <c r="M888" s="11"/>
    </row>
    <row r="889" spans="2:13" ht="27" customHeight="1">
      <c r="B889" s="84"/>
      <c r="C889" s="10" t="s">
        <v>34</v>
      </c>
      <c r="D889" s="11" t="s">
        <v>836</v>
      </c>
      <c r="E889" s="12">
        <v>29000</v>
      </c>
      <c r="F889" s="12">
        <v>160</v>
      </c>
      <c r="G889" s="12">
        <f>E889*F889</f>
        <v>4640000</v>
      </c>
      <c r="H889" s="12">
        <f>G889/10</f>
        <v>464000</v>
      </c>
      <c r="I889" s="12">
        <f t="shared" si="182"/>
        <v>5104000</v>
      </c>
      <c r="J889" s="12">
        <v>19200</v>
      </c>
      <c r="K889" s="12">
        <f>E889-J889</f>
        <v>9800</v>
      </c>
      <c r="L889" s="12">
        <f>F889*K889</f>
        <v>1568000</v>
      </c>
      <c r="M889" s="11"/>
    </row>
    <row r="890" spans="2:13" ht="27" customHeight="1">
      <c r="B890" s="86"/>
      <c r="C890" s="18"/>
      <c r="D890" s="19" t="s">
        <v>405</v>
      </c>
      <c r="E890" s="20"/>
      <c r="F890" s="20"/>
      <c r="G890" s="20">
        <f>SUM(G887:G889)</f>
        <v>4640000</v>
      </c>
      <c r="H890" s="20">
        <f>SUM(H887:H889)</f>
        <v>464000</v>
      </c>
      <c r="I890" s="20">
        <f t="shared" si="182"/>
        <v>5104000</v>
      </c>
      <c r="J890" s="20"/>
      <c r="K890" s="20"/>
      <c r="L890" s="20">
        <f>L888+L887+L889</f>
        <v>1568000</v>
      </c>
      <c r="M890" s="19"/>
    </row>
    <row r="891" spans="2:13" ht="27" customHeight="1">
      <c r="B891" s="9" t="s">
        <v>837</v>
      </c>
      <c r="C891" s="10" t="s">
        <v>20</v>
      </c>
      <c r="D891" s="11" t="s">
        <v>838</v>
      </c>
      <c r="E891" s="12">
        <v>1300</v>
      </c>
      <c r="F891" s="12"/>
      <c r="G891" s="12">
        <f>E891*F891</f>
        <v>0</v>
      </c>
      <c r="H891" s="12">
        <f>G891/10</f>
        <v>0</v>
      </c>
      <c r="I891" s="12">
        <f t="shared" si="182"/>
        <v>0</v>
      </c>
      <c r="J891" s="12">
        <v>910</v>
      </c>
      <c r="K891" s="12">
        <f>E891-J891</f>
        <v>390</v>
      </c>
      <c r="L891" s="11">
        <f>F891*K891</f>
        <v>0</v>
      </c>
      <c r="M891" s="11"/>
    </row>
    <row r="892" spans="2:13" ht="27" customHeight="1">
      <c r="B892" s="13"/>
      <c r="C892" s="10"/>
      <c r="D892" s="11"/>
      <c r="E892" s="12"/>
      <c r="F892" s="12"/>
      <c r="G892" s="12">
        <f>E892*F892</f>
        <v>0</v>
      </c>
      <c r="H892" s="12">
        <f>G892/10</f>
        <v>0</v>
      </c>
      <c r="I892" s="12">
        <f t="shared" si="182"/>
        <v>0</v>
      </c>
      <c r="J892" s="12"/>
      <c r="K892" s="12">
        <f>E892-J892</f>
        <v>0</v>
      </c>
      <c r="L892" s="11">
        <f>F892*K892</f>
        <v>0</v>
      </c>
      <c r="M892" s="11"/>
    </row>
    <row r="893" spans="2:13" ht="27" customHeight="1">
      <c r="B893" s="17"/>
      <c r="C893" s="18"/>
      <c r="D893" s="19" t="s">
        <v>405</v>
      </c>
      <c r="E893" s="20"/>
      <c r="F893" s="20"/>
      <c r="G893" s="20">
        <f>SUM(G891:G892)</f>
        <v>0</v>
      </c>
      <c r="H893" s="20">
        <f>SUM(H891:H892)</f>
        <v>0</v>
      </c>
      <c r="I893" s="20">
        <f t="shared" si="182"/>
        <v>0</v>
      </c>
      <c r="J893" s="20"/>
      <c r="K893" s="20"/>
      <c r="L893" s="20">
        <f>L892+L891</f>
        <v>0</v>
      </c>
      <c r="M893" s="19"/>
    </row>
    <row r="894" spans="2:13" ht="27" customHeight="1">
      <c r="B894" s="9" t="s">
        <v>839</v>
      </c>
      <c r="C894" s="10" t="s">
        <v>20</v>
      </c>
      <c r="D894" s="11" t="s">
        <v>840</v>
      </c>
      <c r="E894" s="12">
        <v>1300</v>
      </c>
      <c r="F894" s="12"/>
      <c r="G894" s="12">
        <f>E894*F894</f>
        <v>0</v>
      </c>
      <c r="H894" s="12">
        <f>G894/10</f>
        <v>0</v>
      </c>
      <c r="I894" s="12">
        <f t="shared" si="182"/>
        <v>0</v>
      </c>
      <c r="J894" s="12">
        <v>910</v>
      </c>
      <c r="K894" s="12">
        <f>E894-J894</f>
        <v>390</v>
      </c>
      <c r="L894" s="12">
        <f>K894*F894</f>
        <v>0</v>
      </c>
      <c r="M894" s="11"/>
    </row>
    <row r="895" spans="2:13" ht="27" customHeight="1">
      <c r="B895" s="13"/>
      <c r="C895" s="10"/>
      <c r="D895" s="11"/>
      <c r="E895" s="12"/>
      <c r="F895" s="12"/>
      <c r="G895" s="12">
        <f>E895*F895</f>
        <v>0</v>
      </c>
      <c r="H895" s="12">
        <f>G895/10</f>
        <v>0</v>
      </c>
      <c r="I895" s="12">
        <f t="shared" si="182"/>
        <v>0</v>
      </c>
      <c r="J895" s="12"/>
      <c r="K895" s="12"/>
      <c r="L895" s="12"/>
      <c r="M895" s="11"/>
    </row>
    <row r="896" spans="2:13" ht="27" customHeight="1">
      <c r="B896" s="17"/>
      <c r="C896" s="18"/>
      <c r="D896" s="19" t="s">
        <v>156</v>
      </c>
      <c r="E896" s="20"/>
      <c r="F896" s="20"/>
      <c r="G896" s="20">
        <f>SUM(G894:G895)</f>
        <v>0</v>
      </c>
      <c r="H896" s="20">
        <f>SUM(H894:H895)</f>
        <v>0</v>
      </c>
      <c r="I896" s="20">
        <f>SUM(I894:I895)</f>
        <v>0</v>
      </c>
      <c r="J896" s="20"/>
      <c r="K896" s="20"/>
      <c r="L896" s="20">
        <f>SUM(L894:L895)</f>
        <v>0</v>
      </c>
      <c r="M896" s="20">
        <f>SUM(M894:M895)</f>
        <v>0</v>
      </c>
    </row>
    <row r="897" spans="2:13" ht="27" customHeight="1">
      <c r="B897" s="27" t="s">
        <v>841</v>
      </c>
      <c r="C897" s="10" t="s">
        <v>14</v>
      </c>
      <c r="D897" s="11" t="s">
        <v>842</v>
      </c>
      <c r="E897" s="12">
        <v>1300</v>
      </c>
      <c r="F897" s="12"/>
      <c r="G897" s="12">
        <f>E897*F897</f>
        <v>0</v>
      </c>
      <c r="H897" s="12">
        <f>G897/10</f>
        <v>0</v>
      </c>
      <c r="I897" s="12">
        <f t="shared" ref="I897:I965" si="187">G897+H897</f>
        <v>0</v>
      </c>
      <c r="J897" s="12">
        <v>950</v>
      </c>
      <c r="K897" s="12">
        <f>E897-J897</f>
        <v>350</v>
      </c>
      <c r="L897" s="11">
        <f>F897*K897</f>
        <v>0</v>
      </c>
      <c r="M897" s="11"/>
    </row>
    <row r="898" spans="2:13" ht="27" customHeight="1">
      <c r="B898" s="30"/>
      <c r="C898" s="10" t="s">
        <v>34</v>
      </c>
      <c r="D898" s="11" t="s">
        <v>70</v>
      </c>
      <c r="E898" s="12">
        <v>29000</v>
      </c>
      <c r="F898" s="12"/>
      <c r="G898" s="12">
        <f>E898*F898</f>
        <v>0</v>
      </c>
      <c r="H898" s="12">
        <f>G898/10</f>
        <v>0</v>
      </c>
      <c r="I898" s="12">
        <f t="shared" si="187"/>
        <v>0</v>
      </c>
      <c r="J898" s="12">
        <v>22000</v>
      </c>
      <c r="K898" s="12">
        <f>E898-J898</f>
        <v>7000</v>
      </c>
      <c r="L898" s="11">
        <f>F898*K898</f>
        <v>0</v>
      </c>
      <c r="M898" s="11"/>
    </row>
    <row r="899" spans="2:13" ht="27" customHeight="1">
      <c r="B899" s="38"/>
      <c r="C899" s="18"/>
      <c r="D899" s="19" t="s">
        <v>405</v>
      </c>
      <c r="E899" s="20"/>
      <c r="F899" s="20"/>
      <c r="G899" s="20">
        <f>SUM(G897:G898)</f>
        <v>0</v>
      </c>
      <c r="H899" s="20">
        <f>SUM(H897:H898)</f>
        <v>0</v>
      </c>
      <c r="I899" s="20">
        <f t="shared" si="187"/>
        <v>0</v>
      </c>
      <c r="J899" s="20"/>
      <c r="K899" s="20"/>
      <c r="L899" s="20">
        <f>L897+L898</f>
        <v>0</v>
      </c>
      <c r="M899" s="19"/>
    </row>
    <row r="900" spans="2:13" ht="27" customHeight="1">
      <c r="B900" s="27" t="s">
        <v>843</v>
      </c>
      <c r="C900" s="10" t="s">
        <v>23</v>
      </c>
      <c r="D900" s="11" t="s">
        <v>844</v>
      </c>
      <c r="E900" s="12">
        <v>560</v>
      </c>
      <c r="F900" s="12"/>
      <c r="G900" s="12">
        <f>E900*F900</f>
        <v>0</v>
      </c>
      <c r="H900" s="12">
        <f>G900/10</f>
        <v>0</v>
      </c>
      <c r="I900" s="12">
        <f t="shared" si="187"/>
        <v>0</v>
      </c>
      <c r="J900" s="12">
        <v>499</v>
      </c>
      <c r="K900" s="12">
        <f>E900-J900</f>
        <v>61</v>
      </c>
      <c r="L900" s="11">
        <f>F900*K900</f>
        <v>0</v>
      </c>
      <c r="M900" s="11"/>
    </row>
    <row r="901" spans="2:13" ht="27" customHeight="1">
      <c r="B901" s="30"/>
      <c r="C901" s="10"/>
      <c r="D901" s="11"/>
      <c r="E901" s="12"/>
      <c r="F901" s="12"/>
      <c r="G901" s="12">
        <f>E901*F901</f>
        <v>0</v>
      </c>
      <c r="H901" s="12">
        <f>G901/10</f>
        <v>0</v>
      </c>
      <c r="I901" s="12">
        <f t="shared" si="187"/>
        <v>0</v>
      </c>
      <c r="J901" s="12"/>
      <c r="K901" s="12">
        <f>E901-J901</f>
        <v>0</v>
      </c>
      <c r="L901" s="11">
        <f>F901*K901</f>
        <v>0</v>
      </c>
      <c r="M901" s="11"/>
    </row>
    <row r="902" spans="2:13" ht="27" customHeight="1">
      <c r="B902" s="38"/>
      <c r="C902" s="18"/>
      <c r="D902" s="19" t="s">
        <v>405</v>
      </c>
      <c r="E902" s="20"/>
      <c r="F902" s="20"/>
      <c r="G902" s="20">
        <f>SUM(G900:G901)</f>
        <v>0</v>
      </c>
      <c r="H902" s="20">
        <f>SUM(H900:H901)</f>
        <v>0</v>
      </c>
      <c r="I902" s="20">
        <f t="shared" si="187"/>
        <v>0</v>
      </c>
      <c r="J902" s="20"/>
      <c r="K902" s="20"/>
      <c r="L902" s="20">
        <f>L900+L901</f>
        <v>0</v>
      </c>
      <c r="M902" s="19"/>
    </row>
    <row r="903" spans="2:13" ht="27" customHeight="1">
      <c r="B903" s="27" t="s">
        <v>845</v>
      </c>
      <c r="C903" s="10" t="s">
        <v>23</v>
      </c>
      <c r="D903" s="11" t="s">
        <v>846</v>
      </c>
      <c r="E903" s="12">
        <v>410</v>
      </c>
      <c r="F903" s="12"/>
      <c r="G903" s="12">
        <f>E903*F903</f>
        <v>0</v>
      </c>
      <c r="H903" s="12">
        <f>G903/10</f>
        <v>0</v>
      </c>
      <c r="I903" s="12">
        <f t="shared" si="187"/>
        <v>0</v>
      </c>
      <c r="J903" s="12">
        <v>320</v>
      </c>
      <c r="K903" s="12">
        <f>E903-J903</f>
        <v>90</v>
      </c>
      <c r="L903" s="11">
        <f>F903*K903</f>
        <v>0</v>
      </c>
      <c r="M903" s="11" t="s">
        <v>847</v>
      </c>
    </row>
    <row r="904" spans="2:13" ht="27" customHeight="1">
      <c r="B904" s="30"/>
      <c r="C904" s="10" t="s">
        <v>23</v>
      </c>
      <c r="D904" s="11" t="s">
        <v>848</v>
      </c>
      <c r="E904" s="12">
        <v>410</v>
      </c>
      <c r="F904" s="12"/>
      <c r="G904" s="12">
        <f>E904*F904</f>
        <v>0</v>
      </c>
      <c r="H904" s="12">
        <f>G904/10</f>
        <v>0</v>
      </c>
      <c r="I904" s="12">
        <f t="shared" si="187"/>
        <v>0</v>
      </c>
      <c r="J904" s="12">
        <v>320</v>
      </c>
      <c r="K904" s="12">
        <f>E904-J904</f>
        <v>90</v>
      </c>
      <c r="L904" s="11">
        <f>F904*K904</f>
        <v>0</v>
      </c>
      <c r="M904" s="11" t="s">
        <v>849</v>
      </c>
    </row>
    <row r="905" spans="2:13" ht="27" customHeight="1">
      <c r="B905" s="30"/>
      <c r="C905" s="10" t="s">
        <v>99</v>
      </c>
      <c r="D905" s="11" t="s">
        <v>188</v>
      </c>
      <c r="E905" s="12">
        <v>350000</v>
      </c>
      <c r="F905" s="12"/>
      <c r="G905" s="12">
        <f>E905*F905</f>
        <v>0</v>
      </c>
      <c r="H905" s="12">
        <f>G905/10</f>
        <v>0</v>
      </c>
      <c r="I905" s="12">
        <f t="shared" si="187"/>
        <v>0</v>
      </c>
      <c r="J905" s="12"/>
      <c r="K905" s="12">
        <f>E905-J905</f>
        <v>350000</v>
      </c>
      <c r="L905" s="11">
        <f>F905*K905</f>
        <v>0</v>
      </c>
      <c r="M905" s="11"/>
    </row>
    <row r="906" spans="2:13" ht="27" customHeight="1">
      <c r="B906" s="38"/>
      <c r="C906" s="18"/>
      <c r="D906" s="19" t="s">
        <v>405</v>
      </c>
      <c r="E906" s="20"/>
      <c r="F906" s="20"/>
      <c r="G906" s="20">
        <f>SUM(G903:G905)</f>
        <v>0</v>
      </c>
      <c r="H906" s="20">
        <f>SUM(H903:H905)</f>
        <v>0</v>
      </c>
      <c r="I906" s="20">
        <f t="shared" si="187"/>
        <v>0</v>
      </c>
      <c r="J906" s="20"/>
      <c r="K906" s="20"/>
      <c r="L906" s="20">
        <f>L904+L903</f>
        <v>0</v>
      </c>
      <c r="M906" s="19"/>
    </row>
    <row r="907" spans="2:13" ht="27" customHeight="1">
      <c r="B907" s="9" t="s">
        <v>850</v>
      </c>
      <c r="C907" s="10" t="s">
        <v>14</v>
      </c>
      <c r="D907" s="11" t="s">
        <v>851</v>
      </c>
      <c r="E907" s="12">
        <v>9000</v>
      </c>
      <c r="F907" s="12"/>
      <c r="G907" s="12">
        <f>E907*F907</f>
        <v>0</v>
      </c>
      <c r="H907" s="12">
        <f>G907/10</f>
        <v>0</v>
      </c>
      <c r="I907" s="12">
        <f t="shared" si="187"/>
        <v>0</v>
      </c>
      <c r="J907" s="12">
        <v>6500</v>
      </c>
      <c r="K907" s="12">
        <f>E907-J907</f>
        <v>2500</v>
      </c>
      <c r="L907" s="11">
        <f>F907*K907</f>
        <v>0</v>
      </c>
      <c r="M907" s="11" t="s">
        <v>852</v>
      </c>
    </row>
    <row r="908" spans="2:13" ht="27" customHeight="1">
      <c r="B908" s="13"/>
      <c r="C908" s="10" t="s">
        <v>14</v>
      </c>
      <c r="D908" s="11" t="s">
        <v>853</v>
      </c>
      <c r="E908" s="12">
        <v>11200</v>
      </c>
      <c r="F908" s="12"/>
      <c r="G908" s="12">
        <f>E908*F908</f>
        <v>0</v>
      </c>
      <c r="H908" s="12">
        <f>G908/10</f>
        <v>0</v>
      </c>
      <c r="I908" s="12">
        <f t="shared" si="187"/>
        <v>0</v>
      </c>
      <c r="J908" s="12">
        <v>7897</v>
      </c>
      <c r="K908" s="12">
        <f>E908-J908</f>
        <v>3303</v>
      </c>
      <c r="L908" s="11">
        <f>F908*K908</f>
        <v>0</v>
      </c>
      <c r="M908" s="11"/>
    </row>
    <row r="909" spans="2:13" ht="27" customHeight="1">
      <c r="B909" s="17"/>
      <c r="C909" s="18"/>
      <c r="D909" s="19" t="s">
        <v>405</v>
      </c>
      <c r="E909" s="20"/>
      <c r="F909" s="20"/>
      <c r="G909" s="20">
        <f>SUM(G907:G908)</f>
        <v>0</v>
      </c>
      <c r="H909" s="20">
        <f>SUM(H907:H908)</f>
        <v>0</v>
      </c>
      <c r="I909" s="20">
        <f t="shared" si="187"/>
        <v>0</v>
      </c>
      <c r="J909" s="20"/>
      <c r="K909" s="20"/>
      <c r="L909" s="20">
        <f>L907+L908</f>
        <v>0</v>
      </c>
      <c r="M909" s="19"/>
    </row>
    <row r="910" spans="2:13" ht="27" customHeight="1">
      <c r="B910" s="9" t="s">
        <v>854</v>
      </c>
      <c r="C910" s="10" t="s">
        <v>23</v>
      </c>
      <c r="D910" s="11" t="s">
        <v>855</v>
      </c>
      <c r="E910" s="12">
        <v>620</v>
      </c>
      <c r="F910" s="12"/>
      <c r="G910" s="12">
        <f>E910*F910</f>
        <v>0</v>
      </c>
      <c r="H910" s="12">
        <f>G910/10</f>
        <v>0</v>
      </c>
      <c r="I910" s="12">
        <f t="shared" si="187"/>
        <v>0</v>
      </c>
      <c r="J910" s="12">
        <v>545</v>
      </c>
      <c r="K910" s="12">
        <f>E910-J910</f>
        <v>75</v>
      </c>
      <c r="L910" s="11">
        <f>F910*K910</f>
        <v>0</v>
      </c>
      <c r="M910" s="11"/>
    </row>
    <row r="911" spans="2:13" ht="27" customHeight="1">
      <c r="B911" s="13"/>
      <c r="C911" s="10" t="s">
        <v>99</v>
      </c>
      <c r="D911" s="11" t="s">
        <v>188</v>
      </c>
      <c r="E911" s="12">
        <v>300000</v>
      </c>
      <c r="F911" s="12"/>
      <c r="G911" s="12">
        <f>E911*F911</f>
        <v>0</v>
      </c>
      <c r="H911" s="12">
        <f>G911/10</f>
        <v>0</v>
      </c>
      <c r="I911" s="12">
        <f t="shared" si="187"/>
        <v>0</v>
      </c>
      <c r="J911" s="12"/>
      <c r="K911" s="12">
        <f>E911-J911</f>
        <v>300000</v>
      </c>
      <c r="L911" s="11">
        <f>F911*K911</f>
        <v>0</v>
      </c>
      <c r="M911" s="11"/>
    </row>
    <row r="912" spans="2:13" ht="27" customHeight="1">
      <c r="B912" s="17"/>
      <c r="C912" s="18"/>
      <c r="D912" s="19" t="s">
        <v>405</v>
      </c>
      <c r="E912" s="20"/>
      <c r="F912" s="20"/>
      <c r="G912" s="20">
        <f>SUM(G910:G911)</f>
        <v>0</v>
      </c>
      <c r="H912" s="20">
        <f>SUM(H910:H911)</f>
        <v>0</v>
      </c>
      <c r="I912" s="20">
        <f t="shared" si="187"/>
        <v>0</v>
      </c>
      <c r="J912" s="20"/>
      <c r="K912" s="20"/>
      <c r="L912" s="20">
        <f>L910+L911</f>
        <v>0</v>
      </c>
      <c r="M912" s="19"/>
    </row>
    <row r="913" spans="2:13" ht="27" customHeight="1">
      <c r="B913" s="82" t="s">
        <v>505</v>
      </c>
      <c r="C913" s="10" t="s">
        <v>34</v>
      </c>
      <c r="D913" s="11" t="s">
        <v>856</v>
      </c>
      <c r="E913" s="12">
        <v>28500</v>
      </c>
      <c r="F913" s="12">
        <v>160</v>
      </c>
      <c r="G913" s="12">
        <f>E913*F913</f>
        <v>4560000</v>
      </c>
      <c r="H913" s="12">
        <f>G913/10</f>
        <v>456000</v>
      </c>
      <c r="I913" s="12">
        <f t="shared" si="187"/>
        <v>5016000</v>
      </c>
      <c r="J913" s="12">
        <v>25000</v>
      </c>
      <c r="K913" s="12">
        <f>E913-J913</f>
        <v>3500</v>
      </c>
      <c r="L913" s="11">
        <f>F913*K913</f>
        <v>560000</v>
      </c>
      <c r="M913" s="11"/>
    </row>
    <row r="914" spans="2:13" ht="27" customHeight="1">
      <c r="B914" s="84"/>
      <c r="C914" s="10" t="s">
        <v>17</v>
      </c>
      <c r="D914" s="11" t="s">
        <v>504</v>
      </c>
      <c r="E914" s="12">
        <v>8000</v>
      </c>
      <c r="F914" s="12"/>
      <c r="G914" s="12">
        <f>E914*F914</f>
        <v>0</v>
      </c>
      <c r="H914" s="12">
        <f>G914/10</f>
        <v>0</v>
      </c>
      <c r="I914" s="12">
        <f>G914+H914</f>
        <v>0</v>
      </c>
      <c r="J914" s="12">
        <v>6400</v>
      </c>
      <c r="K914" s="12">
        <f>E914-J914</f>
        <v>1600</v>
      </c>
      <c r="L914" s="11">
        <f>F914*K914</f>
        <v>0</v>
      </c>
      <c r="M914" s="11" t="s">
        <v>352</v>
      </c>
    </row>
    <row r="915" spans="2:13" ht="27" customHeight="1">
      <c r="B915" s="84"/>
      <c r="C915" s="10" t="s">
        <v>23</v>
      </c>
      <c r="D915" s="11" t="s">
        <v>857</v>
      </c>
      <c r="E915" s="12">
        <v>400</v>
      </c>
      <c r="F915" s="12"/>
      <c r="G915" s="12">
        <f>E915*F915</f>
        <v>0</v>
      </c>
      <c r="H915" s="12">
        <f>G915/10</f>
        <v>0</v>
      </c>
      <c r="I915" s="12">
        <f>G915+H915</f>
        <v>0</v>
      </c>
      <c r="J915" s="12">
        <v>320</v>
      </c>
      <c r="K915" s="12">
        <f>E915-J915</f>
        <v>80</v>
      </c>
      <c r="L915" s="11">
        <f>F915*K915</f>
        <v>0</v>
      </c>
      <c r="M915" s="11"/>
    </row>
    <row r="916" spans="2:13" ht="27" customHeight="1">
      <c r="B916" s="86"/>
      <c r="C916" s="18"/>
      <c r="D916" s="19" t="s">
        <v>405</v>
      </c>
      <c r="E916" s="20"/>
      <c r="F916" s="20"/>
      <c r="G916" s="20">
        <f>SUM(G913:G915)</f>
        <v>4560000</v>
      </c>
      <c r="H916" s="20">
        <f>SUM(H913:H915)</f>
        <v>456000</v>
      </c>
      <c r="I916" s="20">
        <f>G916+H916</f>
        <v>5016000</v>
      </c>
      <c r="J916" s="20"/>
      <c r="K916" s="20"/>
      <c r="L916" s="20">
        <f>L913+L914+L915</f>
        <v>560000</v>
      </c>
      <c r="M916" s="19"/>
    </row>
    <row r="917" spans="2:13" ht="27" customHeight="1">
      <c r="B917" s="9" t="s">
        <v>858</v>
      </c>
      <c r="C917" s="10" t="s">
        <v>23</v>
      </c>
      <c r="D917" s="11" t="s">
        <v>859</v>
      </c>
      <c r="E917" s="12">
        <v>650</v>
      </c>
      <c r="F917" s="12"/>
      <c r="G917" s="12">
        <f>E917*F917</f>
        <v>0</v>
      </c>
      <c r="H917" s="12">
        <f>G917/10</f>
        <v>0</v>
      </c>
      <c r="I917" s="12">
        <f t="shared" si="187"/>
        <v>0</v>
      </c>
      <c r="J917" s="12">
        <v>550</v>
      </c>
      <c r="K917" s="12">
        <f>E917-J917</f>
        <v>100</v>
      </c>
      <c r="L917" s="11">
        <f>F917*K917</f>
        <v>0</v>
      </c>
      <c r="M917" s="11"/>
    </row>
    <row r="918" spans="2:13" ht="27" customHeight="1">
      <c r="B918" s="13"/>
      <c r="C918" s="10" t="s">
        <v>23</v>
      </c>
      <c r="D918" s="11" t="s">
        <v>860</v>
      </c>
      <c r="E918" s="12">
        <v>650</v>
      </c>
      <c r="F918" s="12"/>
      <c r="G918" s="12">
        <f>E918*F918</f>
        <v>0</v>
      </c>
      <c r="H918" s="12">
        <f>G918/10</f>
        <v>0</v>
      </c>
      <c r="I918" s="12">
        <f t="shared" si="187"/>
        <v>0</v>
      </c>
      <c r="J918" s="12">
        <v>550</v>
      </c>
      <c r="K918" s="12">
        <f>E918-J918</f>
        <v>100</v>
      </c>
      <c r="L918" s="11">
        <f>F918*K918</f>
        <v>0</v>
      </c>
      <c r="M918" s="11"/>
    </row>
    <row r="919" spans="2:13" ht="27" customHeight="1">
      <c r="B919" s="13"/>
      <c r="C919" s="10" t="s">
        <v>99</v>
      </c>
      <c r="D919" s="11" t="s">
        <v>188</v>
      </c>
      <c r="E919" s="12">
        <v>350000</v>
      </c>
      <c r="F919" s="12"/>
      <c r="G919" s="12">
        <f>E919*F919</f>
        <v>0</v>
      </c>
      <c r="H919" s="12">
        <f>G919/10</f>
        <v>0</v>
      </c>
      <c r="I919" s="12">
        <f t="shared" si="187"/>
        <v>0</v>
      </c>
      <c r="J919" s="12"/>
      <c r="K919" s="12">
        <f>E919-J919</f>
        <v>350000</v>
      </c>
      <c r="L919" s="11">
        <f>F919*K919</f>
        <v>0</v>
      </c>
      <c r="M919" s="11"/>
    </row>
    <row r="920" spans="2:13" ht="27" customHeight="1">
      <c r="B920" s="17"/>
      <c r="C920" s="18"/>
      <c r="D920" s="19" t="s">
        <v>405</v>
      </c>
      <c r="E920" s="20"/>
      <c r="F920" s="20"/>
      <c r="G920" s="20">
        <f>SUM(G917:G919)</f>
        <v>0</v>
      </c>
      <c r="H920" s="20">
        <f>SUM(H917:H919)</f>
        <v>0</v>
      </c>
      <c r="I920" s="20">
        <f t="shared" si="187"/>
        <v>0</v>
      </c>
      <c r="J920" s="20"/>
      <c r="K920" s="20"/>
      <c r="L920" s="20">
        <f>L917+L918+L919</f>
        <v>0</v>
      </c>
      <c r="M920" s="19"/>
    </row>
    <row r="921" spans="2:13" ht="27" customHeight="1">
      <c r="B921" s="9" t="s">
        <v>861</v>
      </c>
      <c r="C921" s="10" t="s">
        <v>23</v>
      </c>
      <c r="D921" s="11" t="s">
        <v>477</v>
      </c>
      <c r="E921" s="12">
        <v>230</v>
      </c>
      <c r="F921" s="12"/>
      <c r="G921" s="12">
        <f>E921*F921</f>
        <v>0</v>
      </c>
      <c r="H921" s="12">
        <f>G921/10</f>
        <v>0</v>
      </c>
      <c r="I921" s="12">
        <f t="shared" si="187"/>
        <v>0</v>
      </c>
      <c r="J921" s="12">
        <v>204</v>
      </c>
      <c r="K921" s="12">
        <f>E921-J921</f>
        <v>26</v>
      </c>
      <c r="L921" s="11">
        <f>F921*K921</f>
        <v>0</v>
      </c>
      <c r="M921" s="11"/>
    </row>
    <row r="922" spans="2:13" ht="27" customHeight="1">
      <c r="B922" s="13"/>
      <c r="C922" s="10"/>
      <c r="D922" s="11"/>
      <c r="E922" s="12"/>
      <c r="F922" s="12"/>
      <c r="G922" s="12">
        <f>E922*F922</f>
        <v>0</v>
      </c>
      <c r="H922" s="12">
        <f>G922/10</f>
        <v>0</v>
      </c>
      <c r="I922" s="12">
        <f t="shared" si="187"/>
        <v>0</v>
      </c>
      <c r="J922" s="12"/>
      <c r="K922" s="12">
        <f>E922-J922</f>
        <v>0</v>
      </c>
      <c r="L922" s="11">
        <f>F922*K922</f>
        <v>0</v>
      </c>
      <c r="M922" s="11"/>
    </row>
    <row r="923" spans="2:13" ht="27" customHeight="1">
      <c r="B923" s="17"/>
      <c r="C923" s="18"/>
      <c r="D923" s="19" t="s">
        <v>405</v>
      </c>
      <c r="E923" s="20"/>
      <c r="F923" s="20"/>
      <c r="G923" s="20">
        <f>SUM(G921:G922)</f>
        <v>0</v>
      </c>
      <c r="H923" s="20">
        <f>SUM(H921:H922)</f>
        <v>0</v>
      </c>
      <c r="I923" s="20">
        <f t="shared" si="187"/>
        <v>0</v>
      </c>
      <c r="J923" s="20"/>
      <c r="K923" s="20"/>
      <c r="L923" s="20">
        <f>L921+L922</f>
        <v>0</v>
      </c>
      <c r="M923" s="19"/>
    </row>
    <row r="924" spans="2:13" ht="27" customHeight="1">
      <c r="B924" s="9" t="s">
        <v>862</v>
      </c>
      <c r="C924" s="10" t="s">
        <v>45</v>
      </c>
      <c r="D924" s="11" t="s">
        <v>863</v>
      </c>
      <c r="E924" s="12">
        <v>1400</v>
      </c>
      <c r="F924" s="12"/>
      <c r="G924" s="12">
        <f>E924*F924</f>
        <v>0</v>
      </c>
      <c r="H924" s="12">
        <f>G924/10</f>
        <v>0</v>
      </c>
      <c r="I924" s="12">
        <f t="shared" si="187"/>
        <v>0</v>
      </c>
      <c r="J924" s="12">
        <v>890</v>
      </c>
      <c r="K924" s="12">
        <f>E924-J924</f>
        <v>510</v>
      </c>
      <c r="L924" s="11">
        <f>F924*K924</f>
        <v>0</v>
      </c>
      <c r="M924" s="11"/>
    </row>
    <row r="925" spans="2:13" ht="27" customHeight="1">
      <c r="B925" s="13"/>
      <c r="C925" s="10"/>
      <c r="D925" s="11"/>
      <c r="E925" s="12"/>
      <c r="F925" s="12"/>
      <c r="G925" s="12">
        <f>E925*F925</f>
        <v>0</v>
      </c>
      <c r="H925" s="12">
        <f>G925/10</f>
        <v>0</v>
      </c>
      <c r="I925" s="12">
        <f t="shared" si="187"/>
        <v>0</v>
      </c>
      <c r="J925" s="12"/>
      <c r="K925" s="12">
        <f>E925-J925</f>
        <v>0</v>
      </c>
      <c r="L925" s="11">
        <f>F925*K925</f>
        <v>0</v>
      </c>
      <c r="M925" s="11"/>
    </row>
    <row r="926" spans="2:13" ht="27" customHeight="1">
      <c r="B926" s="17"/>
      <c r="C926" s="18"/>
      <c r="D926" s="19" t="s">
        <v>405</v>
      </c>
      <c r="E926" s="20"/>
      <c r="F926" s="20"/>
      <c r="G926" s="20">
        <f>SUM(G924:G925)</f>
        <v>0</v>
      </c>
      <c r="H926" s="20">
        <f>SUM(H924:H925)</f>
        <v>0</v>
      </c>
      <c r="I926" s="20">
        <f t="shared" si="187"/>
        <v>0</v>
      </c>
      <c r="J926" s="20"/>
      <c r="K926" s="20"/>
      <c r="L926" s="20">
        <f>L924+L925</f>
        <v>0</v>
      </c>
      <c r="M926" s="19"/>
    </row>
    <row r="927" spans="2:13" ht="27" customHeight="1">
      <c r="B927" s="9" t="s">
        <v>864</v>
      </c>
      <c r="C927" s="10" t="s">
        <v>23</v>
      </c>
      <c r="D927" s="11" t="s">
        <v>865</v>
      </c>
      <c r="E927" s="12">
        <v>330</v>
      </c>
      <c r="F927" s="12"/>
      <c r="G927" s="12">
        <f>E927*F927</f>
        <v>0</v>
      </c>
      <c r="H927" s="12">
        <f>G927/10</f>
        <v>0</v>
      </c>
      <c r="I927" s="12">
        <f t="shared" si="187"/>
        <v>0</v>
      </c>
      <c r="J927" s="12">
        <v>300</v>
      </c>
      <c r="K927" s="12">
        <f>E927-J927</f>
        <v>30</v>
      </c>
      <c r="L927" s="11">
        <f>F927*K927</f>
        <v>0</v>
      </c>
      <c r="M927" s="11" t="s">
        <v>866</v>
      </c>
    </row>
    <row r="928" spans="2:13" ht="27" customHeight="1">
      <c r="B928" s="13"/>
      <c r="C928" s="10" t="s">
        <v>99</v>
      </c>
      <c r="D928" s="11" t="s">
        <v>188</v>
      </c>
      <c r="E928" s="12">
        <v>250000</v>
      </c>
      <c r="F928" s="12"/>
      <c r="G928" s="12">
        <f>E928*F928</f>
        <v>0</v>
      </c>
      <c r="H928" s="12">
        <f>G928/10</f>
        <v>0</v>
      </c>
      <c r="I928" s="12">
        <f t="shared" si="187"/>
        <v>0</v>
      </c>
      <c r="J928" s="12"/>
      <c r="K928" s="12">
        <f>E928-J928</f>
        <v>250000</v>
      </c>
      <c r="L928" s="11">
        <f>F928*K928</f>
        <v>0</v>
      </c>
      <c r="M928" s="11"/>
    </row>
    <row r="929" spans="2:13" ht="27" customHeight="1">
      <c r="B929" s="17"/>
      <c r="C929" s="18"/>
      <c r="D929" s="19" t="s">
        <v>405</v>
      </c>
      <c r="E929" s="20"/>
      <c r="F929" s="20"/>
      <c r="G929" s="20">
        <f>SUM(G927:G928)</f>
        <v>0</v>
      </c>
      <c r="H929" s="20">
        <f>SUM(H927:H928)</f>
        <v>0</v>
      </c>
      <c r="I929" s="20">
        <f t="shared" si="187"/>
        <v>0</v>
      </c>
      <c r="J929" s="20"/>
      <c r="K929" s="20"/>
      <c r="L929" s="20">
        <f>L927+L928</f>
        <v>0</v>
      </c>
      <c r="M929" s="19"/>
    </row>
    <row r="930" spans="2:13" ht="27" customHeight="1">
      <c r="B930" s="9" t="s">
        <v>867</v>
      </c>
      <c r="C930" s="10" t="s">
        <v>17</v>
      </c>
      <c r="D930" s="11" t="s">
        <v>868</v>
      </c>
      <c r="E930" s="12">
        <v>8700</v>
      </c>
      <c r="F930" s="12"/>
      <c r="G930" s="12">
        <f>E930*F930</f>
        <v>0</v>
      </c>
      <c r="H930" s="12">
        <f>G930/10</f>
        <v>0</v>
      </c>
      <c r="I930" s="12">
        <f t="shared" si="187"/>
        <v>0</v>
      </c>
      <c r="J930" s="12">
        <v>7194</v>
      </c>
      <c r="K930" s="12">
        <f>E930-J930</f>
        <v>1506</v>
      </c>
      <c r="L930" s="11">
        <f>F930*K930</f>
        <v>0</v>
      </c>
      <c r="M930" s="11"/>
    </row>
    <row r="931" spans="2:13" ht="27" customHeight="1">
      <c r="B931" s="13"/>
      <c r="C931" s="10"/>
      <c r="D931" s="11"/>
      <c r="E931" s="12"/>
      <c r="F931" s="12"/>
      <c r="G931" s="12">
        <f>E931*F931</f>
        <v>0</v>
      </c>
      <c r="H931" s="12">
        <f>G931/10</f>
        <v>0</v>
      </c>
      <c r="I931" s="12">
        <f t="shared" si="187"/>
        <v>0</v>
      </c>
      <c r="J931" s="12"/>
      <c r="K931" s="12">
        <f>E931-J931</f>
        <v>0</v>
      </c>
      <c r="L931" s="11">
        <f>F931*K931</f>
        <v>0</v>
      </c>
      <c r="M931" s="11"/>
    </row>
    <row r="932" spans="2:13" ht="27" customHeight="1">
      <c r="B932" s="17"/>
      <c r="C932" s="18"/>
      <c r="D932" s="19" t="s">
        <v>405</v>
      </c>
      <c r="E932" s="20"/>
      <c r="F932" s="20"/>
      <c r="G932" s="20">
        <f>SUM(G930:G931)</f>
        <v>0</v>
      </c>
      <c r="H932" s="20">
        <f>SUM(H930:H931)</f>
        <v>0</v>
      </c>
      <c r="I932" s="20">
        <f t="shared" si="187"/>
        <v>0</v>
      </c>
      <c r="J932" s="20"/>
      <c r="K932" s="20"/>
      <c r="L932" s="20">
        <f>L930+L931</f>
        <v>0</v>
      </c>
      <c r="M932" s="19"/>
    </row>
    <row r="933" spans="2:13" ht="27" customHeight="1">
      <c r="B933" s="9" t="s">
        <v>869</v>
      </c>
      <c r="C933" s="10" t="s">
        <v>17</v>
      </c>
      <c r="D933" s="11" t="s">
        <v>870</v>
      </c>
      <c r="E933" s="12">
        <v>8500</v>
      </c>
      <c r="F933" s="12"/>
      <c r="G933" s="12">
        <f>E933*F933</f>
        <v>0</v>
      </c>
      <c r="H933" s="12">
        <f>G933/10</f>
        <v>0</v>
      </c>
      <c r="I933" s="12">
        <f t="shared" si="187"/>
        <v>0</v>
      </c>
      <c r="J933" s="12">
        <v>6426</v>
      </c>
      <c r="K933" s="12">
        <f>E933-J933</f>
        <v>2074</v>
      </c>
      <c r="L933" s="11">
        <f>F933*K933</f>
        <v>0</v>
      </c>
      <c r="M933" s="11" t="s">
        <v>352</v>
      </c>
    </row>
    <row r="934" spans="2:13" ht="27" customHeight="1">
      <c r="B934" s="13"/>
      <c r="C934" s="10"/>
      <c r="D934" s="11"/>
      <c r="E934" s="12"/>
      <c r="F934" s="12"/>
      <c r="G934" s="12">
        <f>E934*F934</f>
        <v>0</v>
      </c>
      <c r="H934" s="12">
        <f>G934/10</f>
        <v>0</v>
      </c>
      <c r="I934" s="12">
        <f t="shared" si="187"/>
        <v>0</v>
      </c>
      <c r="J934" s="12"/>
      <c r="K934" s="12">
        <f>E934-J934</f>
        <v>0</v>
      </c>
      <c r="L934" s="11">
        <f>F934*K934</f>
        <v>0</v>
      </c>
      <c r="M934" s="11"/>
    </row>
    <row r="935" spans="2:13" ht="27" customHeight="1">
      <c r="B935" s="17"/>
      <c r="C935" s="18"/>
      <c r="D935" s="19" t="s">
        <v>405</v>
      </c>
      <c r="E935" s="20"/>
      <c r="F935" s="20"/>
      <c r="G935" s="20">
        <f>SUM(G933:G934)</f>
        <v>0</v>
      </c>
      <c r="H935" s="20">
        <f>SUM(H933:H934)</f>
        <v>0</v>
      </c>
      <c r="I935" s="20">
        <f t="shared" si="187"/>
        <v>0</v>
      </c>
      <c r="J935" s="20"/>
      <c r="K935" s="20"/>
      <c r="L935" s="20">
        <f>L933+L934</f>
        <v>0</v>
      </c>
      <c r="M935" s="19"/>
    </row>
    <row r="936" spans="2:13" ht="27" customHeight="1">
      <c r="B936" s="82" t="s">
        <v>871</v>
      </c>
      <c r="C936" s="10" t="s">
        <v>45</v>
      </c>
      <c r="D936" s="11" t="s">
        <v>872</v>
      </c>
      <c r="E936" s="12">
        <v>1800</v>
      </c>
      <c r="F936" s="12"/>
      <c r="G936" s="12">
        <f>E936*F936</f>
        <v>0</v>
      </c>
      <c r="H936" s="12">
        <f>G936/10</f>
        <v>0</v>
      </c>
      <c r="I936" s="12">
        <f t="shared" si="187"/>
        <v>0</v>
      </c>
      <c r="J936" s="12"/>
      <c r="K936" s="12">
        <f>E936-J936</f>
        <v>1800</v>
      </c>
      <c r="L936" s="11">
        <f>F936*K936</f>
        <v>0</v>
      </c>
      <c r="M936" s="11" t="s">
        <v>873</v>
      </c>
    </row>
    <row r="937" spans="2:13" ht="27" customHeight="1">
      <c r="B937" s="84"/>
      <c r="C937" s="10" t="s">
        <v>45</v>
      </c>
      <c r="D937" s="11" t="s">
        <v>46</v>
      </c>
      <c r="E937" s="12">
        <v>1800</v>
      </c>
      <c r="F937" s="12"/>
      <c r="G937" s="12">
        <f>E937*F937</f>
        <v>0</v>
      </c>
      <c r="H937" s="12">
        <f>G937/10</f>
        <v>0</v>
      </c>
      <c r="I937" s="12">
        <f t="shared" si="187"/>
        <v>0</v>
      </c>
      <c r="J937" s="12">
        <v>1273</v>
      </c>
      <c r="K937" s="12">
        <f>E937-J937</f>
        <v>527</v>
      </c>
      <c r="L937" s="11">
        <f>K937*F937</f>
        <v>0</v>
      </c>
      <c r="M937" s="11" t="s">
        <v>47</v>
      </c>
    </row>
    <row r="938" spans="2:13" ht="27" customHeight="1">
      <c r="B938" s="84"/>
      <c r="C938" s="10" t="s">
        <v>34</v>
      </c>
      <c r="D938" s="11" t="s">
        <v>874</v>
      </c>
      <c r="E938" s="12">
        <v>16500</v>
      </c>
      <c r="F938" s="12">
        <v>300</v>
      </c>
      <c r="G938" s="23">
        <f t="shared" ref="G938" si="188">E938*F938</f>
        <v>4950000</v>
      </c>
      <c r="H938" s="12">
        <f t="shared" ref="H938" si="189">G938/10</f>
        <v>495000</v>
      </c>
      <c r="I938" s="12">
        <f t="shared" si="187"/>
        <v>5445000</v>
      </c>
      <c r="J938" s="12">
        <v>13000</v>
      </c>
      <c r="K938" s="12">
        <f t="shared" ref="K938" si="190">E938-J938</f>
        <v>3500</v>
      </c>
      <c r="L938" s="12">
        <f t="shared" ref="L938" si="191">F938*K938</f>
        <v>1050000</v>
      </c>
      <c r="M938" s="11" t="s">
        <v>875</v>
      </c>
    </row>
    <row r="939" spans="2:13" ht="27" customHeight="1">
      <c r="B939" s="84"/>
      <c r="C939" s="10" t="s">
        <v>99</v>
      </c>
      <c r="D939" s="11" t="s">
        <v>151</v>
      </c>
      <c r="E939" s="12">
        <v>30000</v>
      </c>
      <c r="F939" s="12"/>
      <c r="G939" s="12">
        <f>E939*F939</f>
        <v>0</v>
      </c>
      <c r="H939" s="12">
        <f>G939/10</f>
        <v>0</v>
      </c>
      <c r="I939" s="12">
        <f t="shared" si="187"/>
        <v>0</v>
      </c>
      <c r="J939" s="12">
        <v>30000</v>
      </c>
      <c r="K939" s="12">
        <f>E939-J939</f>
        <v>0</v>
      </c>
      <c r="L939" s="11">
        <f>F939*K939</f>
        <v>0</v>
      </c>
      <c r="M939" s="11"/>
    </row>
    <row r="940" spans="2:13" ht="27" customHeight="1">
      <c r="B940" s="86"/>
      <c r="C940" s="18"/>
      <c r="D940" s="19" t="s">
        <v>405</v>
      </c>
      <c r="E940" s="20"/>
      <c r="F940" s="20"/>
      <c r="G940" s="20">
        <f>SUM(G936:G939)</f>
        <v>4950000</v>
      </c>
      <c r="H940" s="20">
        <f>SUM(H936:H939)</f>
        <v>495000</v>
      </c>
      <c r="I940" s="20">
        <f t="shared" si="187"/>
        <v>5445000</v>
      </c>
      <c r="J940" s="20"/>
      <c r="K940" s="20"/>
      <c r="L940" s="20">
        <f>SUM(L936:L939)</f>
        <v>1050000</v>
      </c>
      <c r="M940" s="98">
        <f>K940+L940</f>
        <v>1050000</v>
      </c>
    </row>
    <row r="941" spans="2:13" ht="27" customHeight="1">
      <c r="B941" s="9" t="s">
        <v>876</v>
      </c>
      <c r="C941" s="10" t="s">
        <v>23</v>
      </c>
      <c r="D941" s="11" t="s">
        <v>776</v>
      </c>
      <c r="E941" s="12">
        <v>400</v>
      </c>
      <c r="F941" s="12"/>
      <c r="G941" s="12">
        <f>E941*F941</f>
        <v>0</v>
      </c>
      <c r="H941" s="12">
        <f>G941/10</f>
        <v>0</v>
      </c>
      <c r="I941" s="12">
        <f t="shared" si="187"/>
        <v>0</v>
      </c>
      <c r="J941" s="12">
        <v>320</v>
      </c>
      <c r="K941" s="12">
        <f>E941-J941</f>
        <v>80</v>
      </c>
      <c r="L941" s="11">
        <f>F941*K941</f>
        <v>0</v>
      </c>
      <c r="M941" s="11"/>
    </row>
    <row r="942" spans="2:13" ht="27" customHeight="1">
      <c r="B942" s="13"/>
      <c r="C942" s="10"/>
      <c r="D942" s="11"/>
      <c r="E942" s="12"/>
      <c r="F942" s="12"/>
      <c r="G942" s="12">
        <f>E942*F942</f>
        <v>0</v>
      </c>
      <c r="H942" s="12">
        <f>G942/10</f>
        <v>0</v>
      </c>
      <c r="I942" s="12">
        <f t="shared" si="187"/>
        <v>0</v>
      </c>
      <c r="J942" s="12"/>
      <c r="K942" s="12">
        <f>E942-J942</f>
        <v>0</v>
      </c>
      <c r="L942" s="11">
        <f>K942*F942</f>
        <v>0</v>
      </c>
      <c r="M942" s="11"/>
    </row>
    <row r="943" spans="2:13" ht="27" customHeight="1">
      <c r="B943" s="13"/>
      <c r="C943" s="10"/>
      <c r="D943" s="11"/>
      <c r="E943" s="12"/>
      <c r="F943" s="12"/>
      <c r="G943" s="12">
        <f>E943*F943</f>
        <v>0</v>
      </c>
      <c r="H943" s="12">
        <f>G943/10</f>
        <v>0</v>
      </c>
      <c r="I943" s="12">
        <f t="shared" si="187"/>
        <v>0</v>
      </c>
      <c r="J943" s="12"/>
      <c r="K943" s="12">
        <f>E943-J943</f>
        <v>0</v>
      </c>
      <c r="L943" s="11">
        <f>F943*K943</f>
        <v>0</v>
      </c>
      <c r="M943" s="11"/>
    </row>
    <row r="944" spans="2:13" ht="27" customHeight="1">
      <c r="B944" s="17"/>
      <c r="C944" s="18"/>
      <c r="D944" s="19" t="s">
        <v>405</v>
      </c>
      <c r="E944" s="20"/>
      <c r="F944" s="20"/>
      <c r="G944" s="20">
        <f>SUM(G941:G943)</f>
        <v>0</v>
      </c>
      <c r="H944" s="20">
        <f>SUM(H941:H943)</f>
        <v>0</v>
      </c>
      <c r="I944" s="20">
        <f t="shared" si="187"/>
        <v>0</v>
      </c>
      <c r="J944" s="20"/>
      <c r="K944" s="20"/>
      <c r="L944" s="20">
        <f>L941+L942+L943</f>
        <v>0</v>
      </c>
      <c r="M944" s="19"/>
    </row>
    <row r="945" spans="2:13" ht="27" customHeight="1">
      <c r="B945" s="9" t="s">
        <v>877</v>
      </c>
      <c r="C945" s="10" t="s">
        <v>45</v>
      </c>
      <c r="D945" s="11" t="s">
        <v>80</v>
      </c>
      <c r="E945" s="12">
        <v>1300</v>
      </c>
      <c r="F945" s="12"/>
      <c r="G945" s="12">
        <f>E945*F945</f>
        <v>0</v>
      </c>
      <c r="H945" s="12">
        <f>G945/10</f>
        <v>0</v>
      </c>
      <c r="I945" s="12">
        <f t="shared" si="187"/>
        <v>0</v>
      </c>
      <c r="J945" s="12">
        <v>1030</v>
      </c>
      <c r="K945" s="12">
        <f>E945-J945</f>
        <v>270</v>
      </c>
      <c r="L945" s="11">
        <f>F945*K945</f>
        <v>0</v>
      </c>
      <c r="M945" s="11"/>
    </row>
    <row r="946" spans="2:13" ht="27" customHeight="1">
      <c r="B946" s="13"/>
      <c r="C946" s="10"/>
      <c r="D946" s="11"/>
      <c r="E946" s="12"/>
      <c r="F946" s="12"/>
      <c r="G946" s="12">
        <f>E946*F946</f>
        <v>0</v>
      </c>
      <c r="H946" s="12">
        <f>G946/10</f>
        <v>0</v>
      </c>
      <c r="I946" s="12">
        <f t="shared" si="187"/>
        <v>0</v>
      </c>
      <c r="J946" s="12"/>
      <c r="K946" s="12">
        <f>E946-J946</f>
        <v>0</v>
      </c>
      <c r="L946" s="11">
        <f>K946*F946</f>
        <v>0</v>
      </c>
      <c r="M946" s="11"/>
    </row>
    <row r="947" spans="2:13" ht="27" customHeight="1">
      <c r="B947" s="13"/>
      <c r="C947" s="10"/>
      <c r="D947" s="11"/>
      <c r="E947" s="12"/>
      <c r="F947" s="12"/>
      <c r="G947" s="12">
        <f>E947*F947</f>
        <v>0</v>
      </c>
      <c r="H947" s="12">
        <f>G947/10</f>
        <v>0</v>
      </c>
      <c r="I947" s="12">
        <f t="shared" si="187"/>
        <v>0</v>
      </c>
      <c r="J947" s="12"/>
      <c r="K947" s="12">
        <f>E947-J947</f>
        <v>0</v>
      </c>
      <c r="L947" s="11">
        <f>F947*K947</f>
        <v>0</v>
      </c>
      <c r="M947" s="11"/>
    </row>
    <row r="948" spans="2:13" ht="27" customHeight="1">
      <c r="B948" s="17"/>
      <c r="C948" s="18"/>
      <c r="D948" s="19" t="s">
        <v>405</v>
      </c>
      <c r="E948" s="20"/>
      <c r="F948" s="20"/>
      <c r="G948" s="20">
        <f>SUM(G945:G947)</f>
        <v>0</v>
      </c>
      <c r="H948" s="20">
        <f>SUM(H945:H947)</f>
        <v>0</v>
      </c>
      <c r="I948" s="20">
        <f t="shared" si="187"/>
        <v>0</v>
      </c>
      <c r="J948" s="20"/>
      <c r="K948" s="20"/>
      <c r="L948" s="20">
        <f>L945+L946+L947</f>
        <v>0</v>
      </c>
      <c r="M948" s="19"/>
    </row>
    <row r="949" spans="2:13" ht="27" customHeight="1">
      <c r="B949" s="27" t="s">
        <v>878</v>
      </c>
      <c r="C949" s="10" t="s">
        <v>23</v>
      </c>
      <c r="D949" s="11" t="s">
        <v>879</v>
      </c>
      <c r="E949" s="12">
        <v>345</v>
      </c>
      <c r="F949" s="12"/>
      <c r="G949" s="12">
        <f t="shared" ref="G949:G970" si="192">E949*F949</f>
        <v>0</v>
      </c>
      <c r="H949" s="12">
        <f t="shared" ref="H949:H970" si="193">G949/10</f>
        <v>0</v>
      </c>
      <c r="I949" s="12">
        <f t="shared" si="187"/>
        <v>0</v>
      </c>
      <c r="J949" s="12">
        <v>230</v>
      </c>
      <c r="K949" s="12">
        <f t="shared" ref="K949:K970" si="194">E949-J949</f>
        <v>115</v>
      </c>
      <c r="L949" s="11">
        <f t="shared" ref="L949:L970" si="195">F949*K949</f>
        <v>0</v>
      </c>
      <c r="M949" s="11"/>
    </row>
    <row r="950" spans="2:13" ht="27" customHeight="1">
      <c r="B950" s="13"/>
      <c r="C950" s="10" t="s">
        <v>23</v>
      </c>
      <c r="D950" s="48" t="s">
        <v>880</v>
      </c>
      <c r="E950" s="52">
        <v>462</v>
      </c>
      <c r="F950" s="52"/>
      <c r="G950" s="52">
        <f t="shared" si="192"/>
        <v>0</v>
      </c>
      <c r="H950" s="52">
        <f t="shared" si="193"/>
        <v>0</v>
      </c>
      <c r="I950" s="52">
        <f t="shared" si="187"/>
        <v>0</v>
      </c>
      <c r="J950" s="52">
        <v>280</v>
      </c>
      <c r="K950" s="52">
        <f t="shared" si="194"/>
        <v>182</v>
      </c>
      <c r="L950" s="48">
        <f t="shared" si="195"/>
        <v>0</v>
      </c>
      <c r="M950" s="48"/>
    </row>
    <row r="951" spans="2:13" ht="27" customHeight="1">
      <c r="B951" s="13"/>
      <c r="C951" s="10" t="s">
        <v>23</v>
      </c>
      <c r="D951" s="11" t="s">
        <v>881</v>
      </c>
      <c r="E951" s="12">
        <v>345</v>
      </c>
      <c r="F951" s="12"/>
      <c r="G951" s="12">
        <f t="shared" si="192"/>
        <v>0</v>
      </c>
      <c r="H951" s="12">
        <f t="shared" si="193"/>
        <v>0</v>
      </c>
      <c r="I951" s="12">
        <f t="shared" si="187"/>
        <v>0</v>
      </c>
      <c r="J951" s="12">
        <v>230</v>
      </c>
      <c r="K951" s="12">
        <f t="shared" si="194"/>
        <v>115</v>
      </c>
      <c r="L951" s="11">
        <f t="shared" si="195"/>
        <v>0</v>
      </c>
      <c r="M951" s="11"/>
    </row>
    <row r="952" spans="2:13" ht="26.25" customHeight="1">
      <c r="B952" s="13"/>
      <c r="C952" s="10" t="s">
        <v>23</v>
      </c>
      <c r="D952" s="48" t="s">
        <v>882</v>
      </c>
      <c r="E952" s="52">
        <v>462</v>
      </c>
      <c r="F952" s="52"/>
      <c r="G952" s="52">
        <f t="shared" si="192"/>
        <v>0</v>
      </c>
      <c r="H952" s="52">
        <f t="shared" si="193"/>
        <v>0</v>
      </c>
      <c r="I952" s="52">
        <f t="shared" si="187"/>
        <v>0</v>
      </c>
      <c r="J952" s="52">
        <v>280</v>
      </c>
      <c r="K952" s="52">
        <f t="shared" si="194"/>
        <v>182</v>
      </c>
      <c r="L952" s="48">
        <f t="shared" si="195"/>
        <v>0</v>
      </c>
      <c r="M952" s="48"/>
    </row>
    <row r="953" spans="2:13" ht="26.25" customHeight="1">
      <c r="B953" s="13"/>
      <c r="C953" s="10" t="s">
        <v>23</v>
      </c>
      <c r="D953" s="48" t="s">
        <v>883</v>
      </c>
      <c r="E953" s="52">
        <v>462</v>
      </c>
      <c r="F953" s="52"/>
      <c r="G953" s="52">
        <f t="shared" si="192"/>
        <v>0</v>
      </c>
      <c r="H953" s="52">
        <f t="shared" si="193"/>
        <v>0</v>
      </c>
      <c r="I953" s="52">
        <f t="shared" si="187"/>
        <v>0</v>
      </c>
      <c r="J953" s="52">
        <v>280</v>
      </c>
      <c r="K953" s="52">
        <f t="shared" si="194"/>
        <v>182</v>
      </c>
      <c r="L953" s="48">
        <f t="shared" si="195"/>
        <v>0</v>
      </c>
      <c r="M953" s="48"/>
    </row>
    <row r="954" spans="2:13" ht="26.25" customHeight="1">
      <c r="B954" s="13"/>
      <c r="C954" s="10" t="s">
        <v>23</v>
      </c>
      <c r="D954" s="48" t="s">
        <v>884</v>
      </c>
      <c r="E954" s="52">
        <v>462</v>
      </c>
      <c r="F954" s="52"/>
      <c r="G954" s="52">
        <f t="shared" si="192"/>
        <v>0</v>
      </c>
      <c r="H954" s="52">
        <f t="shared" si="193"/>
        <v>0</v>
      </c>
      <c r="I954" s="52">
        <f t="shared" si="187"/>
        <v>0</v>
      </c>
      <c r="J954" s="52">
        <v>280</v>
      </c>
      <c r="K954" s="52">
        <f t="shared" si="194"/>
        <v>182</v>
      </c>
      <c r="L954" s="48">
        <f t="shared" si="195"/>
        <v>0</v>
      </c>
      <c r="M954" s="48"/>
    </row>
    <row r="955" spans="2:13" ht="26.25" customHeight="1">
      <c r="B955" s="13"/>
      <c r="C955" s="10" t="s">
        <v>23</v>
      </c>
      <c r="D955" s="48" t="s">
        <v>885</v>
      </c>
      <c r="E955" s="52">
        <v>462</v>
      </c>
      <c r="F955" s="52"/>
      <c r="G955" s="52">
        <f t="shared" si="192"/>
        <v>0</v>
      </c>
      <c r="H955" s="52">
        <f t="shared" si="193"/>
        <v>0</v>
      </c>
      <c r="I955" s="52">
        <f t="shared" si="187"/>
        <v>0</v>
      </c>
      <c r="J955" s="52">
        <v>280</v>
      </c>
      <c r="K955" s="52">
        <f t="shared" si="194"/>
        <v>182</v>
      </c>
      <c r="L955" s="48">
        <f t="shared" si="195"/>
        <v>0</v>
      </c>
      <c r="M955" s="48"/>
    </row>
    <row r="956" spans="2:13" ht="26.25" customHeight="1">
      <c r="B956" s="13"/>
      <c r="C956" s="10" t="s">
        <v>23</v>
      </c>
      <c r="D956" s="48" t="s">
        <v>886</v>
      </c>
      <c r="E956" s="52">
        <v>462</v>
      </c>
      <c r="F956" s="52"/>
      <c r="G956" s="52">
        <f t="shared" si="192"/>
        <v>0</v>
      </c>
      <c r="H956" s="52">
        <f t="shared" si="193"/>
        <v>0</v>
      </c>
      <c r="I956" s="52">
        <f t="shared" si="187"/>
        <v>0</v>
      </c>
      <c r="J956" s="52">
        <v>280</v>
      </c>
      <c r="K956" s="52">
        <f t="shared" si="194"/>
        <v>182</v>
      </c>
      <c r="L956" s="48">
        <f t="shared" si="195"/>
        <v>0</v>
      </c>
      <c r="M956" s="48"/>
    </row>
    <row r="957" spans="2:13" ht="22.5" customHeight="1">
      <c r="B957" s="13"/>
      <c r="C957" s="10" t="s">
        <v>23</v>
      </c>
      <c r="D957" s="48" t="s">
        <v>887</v>
      </c>
      <c r="E957" s="99">
        <v>462</v>
      </c>
      <c r="F957" s="52"/>
      <c r="G957" s="52">
        <f t="shared" si="192"/>
        <v>0</v>
      </c>
      <c r="H957" s="52">
        <f t="shared" si="193"/>
        <v>0</v>
      </c>
      <c r="I957" s="52">
        <f t="shared" si="187"/>
        <v>0</v>
      </c>
      <c r="J957" s="52">
        <v>280</v>
      </c>
      <c r="K957" s="52">
        <f t="shared" si="194"/>
        <v>182</v>
      </c>
      <c r="L957" s="48">
        <f t="shared" si="195"/>
        <v>0</v>
      </c>
      <c r="M957" s="48"/>
    </row>
    <row r="958" spans="2:13" ht="22.5" customHeight="1">
      <c r="B958" s="13"/>
      <c r="C958" s="10" t="s">
        <v>23</v>
      </c>
      <c r="D958" s="48" t="s">
        <v>888</v>
      </c>
      <c r="E958" s="99">
        <v>462</v>
      </c>
      <c r="F958" s="52"/>
      <c r="G958" s="52">
        <f t="shared" si="192"/>
        <v>0</v>
      </c>
      <c r="H958" s="52">
        <f t="shared" si="193"/>
        <v>0</v>
      </c>
      <c r="I958" s="52">
        <f t="shared" si="187"/>
        <v>0</v>
      </c>
      <c r="J958" s="52">
        <v>280</v>
      </c>
      <c r="K958" s="52">
        <f t="shared" si="194"/>
        <v>182</v>
      </c>
      <c r="L958" s="48">
        <f t="shared" si="195"/>
        <v>0</v>
      </c>
      <c r="M958" s="100"/>
    </row>
    <row r="959" spans="2:13" ht="22.5" customHeight="1">
      <c r="B959" s="13"/>
      <c r="C959" s="10" t="s">
        <v>23</v>
      </c>
      <c r="D959" s="48" t="s">
        <v>889</v>
      </c>
      <c r="E959" s="99">
        <v>462</v>
      </c>
      <c r="F959" s="52"/>
      <c r="G959" s="52">
        <f t="shared" si="192"/>
        <v>0</v>
      </c>
      <c r="H959" s="52">
        <f t="shared" si="193"/>
        <v>0</v>
      </c>
      <c r="I959" s="52">
        <f t="shared" si="187"/>
        <v>0</v>
      </c>
      <c r="J959" s="52">
        <v>280</v>
      </c>
      <c r="K959" s="52">
        <f t="shared" si="194"/>
        <v>182</v>
      </c>
      <c r="L959" s="48">
        <f t="shared" si="195"/>
        <v>0</v>
      </c>
      <c r="M959" s="48"/>
    </row>
    <row r="960" spans="2:13" ht="24.75" customHeight="1">
      <c r="B960" s="13"/>
      <c r="C960" s="10" t="s">
        <v>23</v>
      </c>
      <c r="D960" s="48" t="s">
        <v>890</v>
      </c>
      <c r="E960" s="99">
        <v>462</v>
      </c>
      <c r="F960" s="52"/>
      <c r="G960" s="52">
        <f t="shared" si="192"/>
        <v>0</v>
      </c>
      <c r="H960" s="52">
        <f t="shared" si="193"/>
        <v>0</v>
      </c>
      <c r="I960" s="52">
        <f t="shared" si="187"/>
        <v>0</v>
      </c>
      <c r="J960" s="52">
        <v>280</v>
      </c>
      <c r="K960" s="52">
        <f t="shared" si="194"/>
        <v>182</v>
      </c>
      <c r="L960" s="48">
        <f t="shared" si="195"/>
        <v>0</v>
      </c>
      <c r="M960" s="48"/>
    </row>
    <row r="961" spans="2:13" ht="24.75" customHeight="1">
      <c r="B961" s="13"/>
      <c r="C961" s="10" t="s">
        <v>23</v>
      </c>
      <c r="D961" s="11" t="s">
        <v>891</v>
      </c>
      <c r="E961" s="101">
        <v>345</v>
      </c>
      <c r="F961" s="12"/>
      <c r="G961" s="12">
        <f t="shared" si="192"/>
        <v>0</v>
      </c>
      <c r="H961" s="12">
        <f t="shared" si="193"/>
        <v>0</v>
      </c>
      <c r="I961" s="12">
        <f t="shared" si="187"/>
        <v>0</v>
      </c>
      <c r="J961" s="12">
        <v>240</v>
      </c>
      <c r="K961" s="12">
        <f t="shared" si="194"/>
        <v>105</v>
      </c>
      <c r="L961" s="11">
        <f t="shared" si="195"/>
        <v>0</v>
      </c>
      <c r="M961" s="11"/>
    </row>
    <row r="962" spans="2:13" ht="24.75" customHeight="1">
      <c r="B962" s="13"/>
      <c r="C962" s="10" t="s">
        <v>23</v>
      </c>
      <c r="D962" s="48" t="s">
        <v>892</v>
      </c>
      <c r="E962" s="99">
        <v>462</v>
      </c>
      <c r="F962" s="52"/>
      <c r="G962" s="52">
        <f t="shared" si="192"/>
        <v>0</v>
      </c>
      <c r="H962" s="52">
        <f t="shared" si="193"/>
        <v>0</v>
      </c>
      <c r="I962" s="52">
        <f t="shared" si="187"/>
        <v>0</v>
      </c>
      <c r="J962" s="52">
        <v>280</v>
      </c>
      <c r="K962" s="52">
        <f t="shared" si="194"/>
        <v>182</v>
      </c>
      <c r="L962" s="48">
        <f t="shared" si="195"/>
        <v>0</v>
      </c>
      <c r="M962" s="48"/>
    </row>
    <row r="963" spans="2:13" ht="24.75" customHeight="1">
      <c r="B963" s="13"/>
      <c r="C963" s="10" t="s">
        <v>23</v>
      </c>
      <c r="D963" s="48" t="s">
        <v>893</v>
      </c>
      <c r="E963" s="99">
        <v>462</v>
      </c>
      <c r="F963" s="52"/>
      <c r="G963" s="52">
        <f t="shared" si="192"/>
        <v>0</v>
      </c>
      <c r="H963" s="52">
        <f t="shared" si="193"/>
        <v>0</v>
      </c>
      <c r="I963" s="52">
        <f t="shared" si="187"/>
        <v>0</v>
      </c>
      <c r="J963" s="52">
        <v>280</v>
      </c>
      <c r="K963" s="52">
        <f t="shared" si="194"/>
        <v>182</v>
      </c>
      <c r="L963" s="48">
        <f t="shared" si="195"/>
        <v>0</v>
      </c>
      <c r="M963" s="48"/>
    </row>
    <row r="964" spans="2:13" ht="30.75" customHeight="1">
      <c r="B964" s="13"/>
      <c r="C964" s="10" t="s">
        <v>23</v>
      </c>
      <c r="D964" s="48" t="s">
        <v>894</v>
      </c>
      <c r="E964" s="99">
        <v>462</v>
      </c>
      <c r="F964" s="52"/>
      <c r="G964" s="52">
        <f t="shared" si="192"/>
        <v>0</v>
      </c>
      <c r="H964" s="52">
        <f t="shared" si="193"/>
        <v>0</v>
      </c>
      <c r="I964" s="52">
        <f t="shared" si="187"/>
        <v>0</v>
      </c>
      <c r="J964" s="52">
        <v>280</v>
      </c>
      <c r="K964" s="52">
        <f t="shared" si="194"/>
        <v>182</v>
      </c>
      <c r="L964" s="48">
        <f t="shared" si="195"/>
        <v>0</v>
      </c>
      <c r="M964" s="48"/>
    </row>
    <row r="965" spans="2:13" ht="24.75" customHeight="1">
      <c r="B965" s="13"/>
      <c r="C965" s="10" t="s">
        <v>23</v>
      </c>
      <c r="D965" s="48" t="s">
        <v>895</v>
      </c>
      <c r="E965" s="99">
        <v>462</v>
      </c>
      <c r="F965" s="52"/>
      <c r="G965" s="52">
        <f t="shared" si="192"/>
        <v>0</v>
      </c>
      <c r="H965" s="52">
        <f t="shared" si="193"/>
        <v>0</v>
      </c>
      <c r="I965" s="52">
        <f t="shared" si="187"/>
        <v>0</v>
      </c>
      <c r="J965" s="52">
        <v>280</v>
      </c>
      <c r="K965" s="52">
        <f t="shared" si="194"/>
        <v>182</v>
      </c>
      <c r="L965" s="48">
        <f t="shared" si="195"/>
        <v>0</v>
      </c>
      <c r="M965" s="48"/>
    </row>
    <row r="966" spans="2:13" ht="24.75" customHeight="1">
      <c r="B966" s="13"/>
      <c r="C966" s="10" t="s">
        <v>23</v>
      </c>
      <c r="D966" s="48" t="s">
        <v>896</v>
      </c>
      <c r="E966" s="99">
        <v>462</v>
      </c>
      <c r="F966" s="52"/>
      <c r="G966" s="52">
        <f t="shared" si="192"/>
        <v>0</v>
      </c>
      <c r="H966" s="52">
        <f t="shared" si="193"/>
        <v>0</v>
      </c>
      <c r="I966" s="52">
        <f t="shared" ref="I966:I996" si="196">G966+H966</f>
        <v>0</v>
      </c>
      <c r="J966" s="52">
        <v>280</v>
      </c>
      <c r="K966" s="52">
        <f t="shared" si="194"/>
        <v>182</v>
      </c>
      <c r="L966" s="48">
        <f t="shared" si="195"/>
        <v>0</v>
      </c>
      <c r="M966" s="48"/>
    </row>
    <row r="967" spans="2:13" ht="24.75" customHeight="1">
      <c r="B967" s="13"/>
      <c r="C967" s="10" t="s">
        <v>23</v>
      </c>
      <c r="D967" s="48" t="s">
        <v>897</v>
      </c>
      <c r="E967" s="99">
        <v>482</v>
      </c>
      <c r="F967" s="52"/>
      <c r="G967" s="52">
        <f t="shared" si="192"/>
        <v>0</v>
      </c>
      <c r="H967" s="52">
        <f t="shared" si="193"/>
        <v>0</v>
      </c>
      <c r="I967" s="52">
        <f t="shared" si="196"/>
        <v>0</v>
      </c>
      <c r="J967" s="52">
        <v>280</v>
      </c>
      <c r="K967" s="52">
        <f t="shared" si="194"/>
        <v>202</v>
      </c>
      <c r="L967" s="48">
        <f t="shared" si="195"/>
        <v>0</v>
      </c>
      <c r="M967" s="48"/>
    </row>
    <row r="968" spans="2:13" ht="24.75" customHeight="1">
      <c r="B968" s="13"/>
      <c r="C968" s="10" t="s">
        <v>23</v>
      </c>
      <c r="D968" s="11" t="s">
        <v>898</v>
      </c>
      <c r="E968" s="12">
        <v>345</v>
      </c>
      <c r="F968" s="12"/>
      <c r="G968" s="12">
        <f t="shared" si="192"/>
        <v>0</v>
      </c>
      <c r="H968" s="12">
        <f t="shared" si="193"/>
        <v>0</v>
      </c>
      <c r="I968" s="12">
        <f t="shared" si="196"/>
        <v>0</v>
      </c>
      <c r="J968" s="12">
        <v>250</v>
      </c>
      <c r="K968" s="12">
        <f t="shared" si="194"/>
        <v>95</v>
      </c>
      <c r="L968" s="11">
        <f t="shared" si="195"/>
        <v>0</v>
      </c>
      <c r="M968" s="11"/>
    </row>
    <row r="969" spans="2:13" ht="24.75" customHeight="1">
      <c r="B969" s="13"/>
      <c r="C969" s="10" t="s">
        <v>45</v>
      </c>
      <c r="D969" s="11" t="s">
        <v>899</v>
      </c>
      <c r="E969" s="12">
        <v>45</v>
      </c>
      <c r="F969" s="12"/>
      <c r="G969" s="12">
        <f t="shared" si="192"/>
        <v>0</v>
      </c>
      <c r="H969" s="12">
        <f t="shared" si="193"/>
        <v>0</v>
      </c>
      <c r="I969" s="12">
        <f t="shared" si="196"/>
        <v>0</v>
      </c>
      <c r="J969" s="12">
        <v>16</v>
      </c>
      <c r="K969" s="12">
        <f t="shared" si="194"/>
        <v>29</v>
      </c>
      <c r="L969" s="11">
        <f t="shared" si="195"/>
        <v>0</v>
      </c>
      <c r="M969" s="11" t="s">
        <v>900</v>
      </c>
    </row>
    <row r="970" spans="2:13" ht="24.75" customHeight="1">
      <c r="B970" s="13"/>
      <c r="C970" s="10" t="s">
        <v>99</v>
      </c>
      <c r="D970" s="11" t="s">
        <v>151</v>
      </c>
      <c r="E970" s="12">
        <v>230000</v>
      </c>
      <c r="F970" s="12"/>
      <c r="G970" s="12">
        <f t="shared" si="192"/>
        <v>0</v>
      </c>
      <c r="H970" s="12">
        <f t="shared" si="193"/>
        <v>0</v>
      </c>
      <c r="I970" s="12">
        <f t="shared" si="196"/>
        <v>0</v>
      </c>
      <c r="J970" s="12"/>
      <c r="K970" s="12">
        <f t="shared" si="194"/>
        <v>230000</v>
      </c>
      <c r="L970" s="11">
        <f t="shared" si="195"/>
        <v>0</v>
      </c>
      <c r="M970" s="11"/>
    </row>
    <row r="971" spans="2:13" ht="20.25" customHeight="1">
      <c r="B971" s="17"/>
      <c r="C971" s="10"/>
      <c r="D971" s="19" t="s">
        <v>405</v>
      </c>
      <c r="E971" s="20"/>
      <c r="F971" s="20"/>
      <c r="G971" s="20">
        <f>SUM(G949:G970)</f>
        <v>0</v>
      </c>
      <c r="H971" s="20">
        <f>SUM(H949:H970)</f>
        <v>0</v>
      </c>
      <c r="I971" s="20">
        <f t="shared" si="196"/>
        <v>0</v>
      </c>
      <c r="J971" s="20"/>
      <c r="K971" s="20"/>
      <c r="L971" s="20">
        <f>SUM(L949:L970)</f>
        <v>0</v>
      </c>
      <c r="M971" s="81" t="e">
        <f>L971/G971</f>
        <v>#DIV/0!</v>
      </c>
    </row>
    <row r="972" spans="2:13" ht="30.75" customHeight="1">
      <c r="B972" s="9" t="s">
        <v>901</v>
      </c>
      <c r="C972" s="10" t="s">
        <v>14</v>
      </c>
      <c r="D972" s="11" t="s">
        <v>902</v>
      </c>
      <c r="E972" s="12">
        <v>7200</v>
      </c>
      <c r="F972" s="12"/>
      <c r="G972" s="12">
        <f t="shared" ref="G972:G979" si="197">E972*F972</f>
        <v>0</v>
      </c>
      <c r="H972" s="12">
        <f t="shared" ref="H972:H979" si="198">G972/10</f>
        <v>0</v>
      </c>
      <c r="I972" s="12">
        <f t="shared" si="196"/>
        <v>0</v>
      </c>
      <c r="J972" s="12">
        <v>6670</v>
      </c>
      <c r="K972" s="12">
        <f t="shared" ref="K972:K979" si="199">E972-J972</f>
        <v>530</v>
      </c>
      <c r="L972" s="72">
        <f t="shared" ref="L972:L979" si="200">F972*K972</f>
        <v>0</v>
      </c>
      <c r="M972" s="77"/>
    </row>
    <row r="973" spans="2:13" ht="30.75" customHeight="1">
      <c r="B973" s="13"/>
      <c r="C973" s="10" t="s">
        <v>14</v>
      </c>
      <c r="D973" s="11" t="s">
        <v>903</v>
      </c>
      <c r="E973" s="12">
        <v>6700</v>
      </c>
      <c r="F973" s="12">
        <v>2000</v>
      </c>
      <c r="G973" s="12">
        <f t="shared" si="197"/>
        <v>13400000</v>
      </c>
      <c r="H973" s="12">
        <f t="shared" si="198"/>
        <v>1340000</v>
      </c>
      <c r="I973" s="12">
        <f t="shared" si="196"/>
        <v>14740000</v>
      </c>
      <c r="J973" s="12">
        <v>6400</v>
      </c>
      <c r="K973" s="12">
        <f t="shared" si="199"/>
        <v>300</v>
      </c>
      <c r="L973" s="72">
        <f t="shared" si="200"/>
        <v>600000</v>
      </c>
      <c r="M973" s="77"/>
    </row>
    <row r="974" spans="2:13" ht="30.75" customHeight="1">
      <c r="B974" s="13"/>
      <c r="C974" s="10" t="s">
        <v>14</v>
      </c>
      <c r="D974" s="11" t="s">
        <v>904</v>
      </c>
      <c r="E974" s="12">
        <v>7850</v>
      </c>
      <c r="F974" s="12"/>
      <c r="G974" s="12">
        <f t="shared" si="197"/>
        <v>0</v>
      </c>
      <c r="H974" s="12">
        <f t="shared" si="198"/>
        <v>0</v>
      </c>
      <c r="I974" s="12">
        <f t="shared" si="196"/>
        <v>0</v>
      </c>
      <c r="J974" s="12">
        <v>7500</v>
      </c>
      <c r="K974" s="12">
        <f t="shared" si="199"/>
        <v>350</v>
      </c>
      <c r="L974" s="72">
        <f t="shared" si="200"/>
        <v>0</v>
      </c>
      <c r="M974" s="77"/>
    </row>
    <row r="975" spans="2:13" ht="29.25" customHeight="1">
      <c r="B975" s="13"/>
      <c r="C975" s="10" t="s">
        <v>14</v>
      </c>
      <c r="D975" s="11" t="s">
        <v>905</v>
      </c>
      <c r="E975" s="12">
        <v>8550</v>
      </c>
      <c r="F975" s="12"/>
      <c r="G975" s="12">
        <f t="shared" si="197"/>
        <v>0</v>
      </c>
      <c r="H975" s="12">
        <f t="shared" si="198"/>
        <v>0</v>
      </c>
      <c r="I975" s="12">
        <f t="shared" si="196"/>
        <v>0</v>
      </c>
      <c r="J975" s="12">
        <v>7900</v>
      </c>
      <c r="K975" s="12">
        <f t="shared" si="199"/>
        <v>650</v>
      </c>
      <c r="L975" s="72">
        <f t="shared" si="200"/>
        <v>0</v>
      </c>
      <c r="M975" s="77"/>
    </row>
    <row r="976" spans="2:13" ht="27" customHeight="1">
      <c r="B976" s="13"/>
      <c r="C976" s="10" t="s">
        <v>14</v>
      </c>
      <c r="D976" s="11" t="s">
        <v>906</v>
      </c>
      <c r="E976" s="12">
        <v>6150</v>
      </c>
      <c r="F976" s="12">
        <v>2000</v>
      </c>
      <c r="G976" s="12">
        <f t="shared" si="197"/>
        <v>12300000</v>
      </c>
      <c r="H976" s="12">
        <f t="shared" si="198"/>
        <v>1230000</v>
      </c>
      <c r="I976" s="12">
        <f t="shared" si="196"/>
        <v>13530000</v>
      </c>
      <c r="J976" s="12">
        <v>5800</v>
      </c>
      <c r="K976" s="12">
        <f t="shared" si="199"/>
        <v>350</v>
      </c>
      <c r="L976" s="72">
        <f t="shared" si="200"/>
        <v>700000</v>
      </c>
      <c r="M976" s="11"/>
    </row>
    <row r="977" spans="2:13" ht="27" customHeight="1">
      <c r="B977" s="13"/>
      <c r="C977" s="10" t="s">
        <v>14</v>
      </c>
      <c r="D977" s="11" t="s">
        <v>907</v>
      </c>
      <c r="E977" s="12">
        <v>6150</v>
      </c>
      <c r="F977" s="12">
        <v>2000</v>
      </c>
      <c r="G977" s="12">
        <f t="shared" si="197"/>
        <v>12300000</v>
      </c>
      <c r="H977" s="12">
        <f t="shared" si="198"/>
        <v>1230000</v>
      </c>
      <c r="I977" s="12">
        <f t="shared" si="196"/>
        <v>13530000</v>
      </c>
      <c r="J977" s="12">
        <v>5800</v>
      </c>
      <c r="K977" s="12">
        <f t="shared" si="199"/>
        <v>350</v>
      </c>
      <c r="L977" s="72">
        <f t="shared" si="200"/>
        <v>700000</v>
      </c>
      <c r="M977" s="11"/>
    </row>
    <row r="978" spans="2:13" ht="27" customHeight="1">
      <c r="B978" s="13"/>
      <c r="C978" s="10" t="s">
        <v>23</v>
      </c>
      <c r="D978" s="11" t="s">
        <v>908</v>
      </c>
      <c r="E978" s="12">
        <v>300</v>
      </c>
      <c r="F978" s="12"/>
      <c r="G978" s="12">
        <f t="shared" si="197"/>
        <v>0</v>
      </c>
      <c r="H978" s="12">
        <f t="shared" si="198"/>
        <v>0</v>
      </c>
      <c r="I978" s="12">
        <f t="shared" si="196"/>
        <v>0</v>
      </c>
      <c r="J978" s="12">
        <v>250</v>
      </c>
      <c r="K978" s="12">
        <f t="shared" si="199"/>
        <v>50</v>
      </c>
      <c r="L978" s="72">
        <f t="shared" si="200"/>
        <v>0</v>
      </c>
      <c r="M978" s="11"/>
    </row>
    <row r="979" spans="2:13" ht="27" customHeight="1">
      <c r="B979" s="13"/>
      <c r="C979" s="10" t="s">
        <v>909</v>
      </c>
      <c r="D979" s="11" t="s">
        <v>910</v>
      </c>
      <c r="E979" s="12">
        <v>1</v>
      </c>
      <c r="F979" s="12"/>
      <c r="G979" s="12">
        <f t="shared" si="197"/>
        <v>0</v>
      </c>
      <c r="H979" s="12">
        <f t="shared" si="198"/>
        <v>0</v>
      </c>
      <c r="I979" s="12">
        <f t="shared" si="196"/>
        <v>0</v>
      </c>
      <c r="J979" s="12"/>
      <c r="K979" s="12">
        <f t="shared" si="199"/>
        <v>1</v>
      </c>
      <c r="L979" s="72">
        <f t="shared" si="200"/>
        <v>0</v>
      </c>
      <c r="M979" s="11"/>
    </row>
    <row r="980" spans="2:13" ht="27" customHeight="1">
      <c r="B980" s="17"/>
      <c r="C980" s="18"/>
      <c r="D980" s="19" t="s">
        <v>405</v>
      </c>
      <c r="E980" s="20"/>
      <c r="F980" s="20"/>
      <c r="G980" s="20">
        <f>SUM(G972:G978)</f>
        <v>38000000</v>
      </c>
      <c r="H980" s="20">
        <f>SUM(H972:H978)</f>
        <v>3800000</v>
      </c>
      <c r="I980" s="20">
        <f>G980+H980</f>
        <v>41800000</v>
      </c>
      <c r="J980" s="20"/>
      <c r="K980" s="20"/>
      <c r="L980" s="20">
        <f>L975+L977+L976+L974+L972+L978+L979</f>
        <v>1400000</v>
      </c>
      <c r="M980" s="19"/>
    </row>
    <row r="981" spans="2:13" ht="27" customHeight="1">
      <c r="B981" s="9" t="s">
        <v>911</v>
      </c>
      <c r="C981" s="10" t="s">
        <v>45</v>
      </c>
      <c r="D981" s="11" t="s">
        <v>912</v>
      </c>
      <c r="E981" s="12">
        <v>710000</v>
      </c>
      <c r="F981" s="73"/>
      <c r="G981" s="12">
        <f t="shared" ref="G981:G986" si="201">E981*F981</f>
        <v>0</v>
      </c>
      <c r="H981" s="12">
        <f t="shared" ref="H981:H986" si="202">G981/10</f>
        <v>0</v>
      </c>
      <c r="I981" s="12">
        <f t="shared" ref="I981:I983" si="203">G981+H981</f>
        <v>0</v>
      </c>
      <c r="J981" s="12">
        <v>655000</v>
      </c>
      <c r="K981" s="12">
        <f t="shared" ref="K981:K986" si="204">E981-J981</f>
        <v>55000</v>
      </c>
      <c r="L981" s="72">
        <f t="shared" ref="L981:L986" si="205">F981*K981</f>
        <v>0</v>
      </c>
      <c r="M981" s="77"/>
    </row>
    <row r="982" spans="2:13" ht="27" customHeight="1">
      <c r="B982" s="13"/>
      <c r="C982" s="10" t="s">
        <v>45</v>
      </c>
      <c r="D982" s="11" t="s">
        <v>913</v>
      </c>
      <c r="E982" s="12">
        <v>710000</v>
      </c>
      <c r="F982" s="73"/>
      <c r="G982" s="12">
        <f t="shared" si="201"/>
        <v>0</v>
      </c>
      <c r="H982" s="12">
        <f t="shared" si="202"/>
        <v>0</v>
      </c>
      <c r="I982" s="12">
        <f t="shared" si="203"/>
        <v>0</v>
      </c>
      <c r="J982" s="12">
        <v>655000</v>
      </c>
      <c r="K982" s="12">
        <f t="shared" si="204"/>
        <v>55000</v>
      </c>
      <c r="L982" s="72">
        <f t="shared" si="205"/>
        <v>0</v>
      </c>
      <c r="M982" s="77"/>
    </row>
    <row r="983" spans="2:13" ht="27" customHeight="1">
      <c r="B983" s="13"/>
      <c r="C983" s="10" t="s">
        <v>45</v>
      </c>
      <c r="D983" s="11" t="s">
        <v>914</v>
      </c>
      <c r="E983" s="37"/>
      <c r="F983" s="73"/>
      <c r="G983" s="12">
        <f t="shared" si="201"/>
        <v>0</v>
      </c>
      <c r="H983" s="12">
        <f t="shared" si="202"/>
        <v>0</v>
      </c>
      <c r="I983" s="12">
        <f t="shared" si="203"/>
        <v>0</v>
      </c>
      <c r="J983" s="37"/>
      <c r="K983" s="12">
        <f t="shared" si="204"/>
        <v>0</v>
      </c>
      <c r="L983" s="72">
        <f t="shared" si="205"/>
        <v>0</v>
      </c>
      <c r="M983" s="77"/>
    </row>
    <row r="984" spans="2:13" ht="35.25" customHeight="1">
      <c r="B984" s="13"/>
      <c r="C984" s="10" t="s">
        <v>45</v>
      </c>
      <c r="D984" s="11" t="s">
        <v>915</v>
      </c>
      <c r="E984" s="12">
        <v>710000</v>
      </c>
      <c r="F984" s="73"/>
      <c r="G984" s="12">
        <f t="shared" si="201"/>
        <v>0</v>
      </c>
      <c r="H984" s="12">
        <f t="shared" si="202"/>
        <v>0</v>
      </c>
      <c r="I984" s="12">
        <f t="shared" si="196"/>
        <v>0</v>
      </c>
      <c r="J984" s="12">
        <v>647170</v>
      </c>
      <c r="K984" s="12">
        <f t="shared" si="204"/>
        <v>62830</v>
      </c>
      <c r="L984" s="72">
        <f t="shared" si="205"/>
        <v>0</v>
      </c>
      <c r="M984" s="77" t="s">
        <v>916</v>
      </c>
    </row>
    <row r="985" spans="2:13" ht="27" customHeight="1">
      <c r="B985" s="13"/>
      <c r="C985" s="10" t="s">
        <v>99</v>
      </c>
      <c r="D985" s="11" t="s">
        <v>569</v>
      </c>
      <c r="E985" s="12">
        <v>363963</v>
      </c>
      <c r="F985" s="12"/>
      <c r="G985" s="12">
        <f t="shared" si="201"/>
        <v>0</v>
      </c>
      <c r="H985" s="12">
        <f t="shared" si="202"/>
        <v>0</v>
      </c>
      <c r="I985" s="12">
        <f t="shared" si="196"/>
        <v>0</v>
      </c>
      <c r="J985" s="12">
        <v>363963</v>
      </c>
      <c r="K985" s="12">
        <f t="shared" si="204"/>
        <v>0</v>
      </c>
      <c r="L985" s="74">
        <f t="shared" si="205"/>
        <v>0</v>
      </c>
      <c r="M985" s="11"/>
    </row>
    <row r="986" spans="2:13" ht="27" customHeight="1">
      <c r="B986" s="13"/>
      <c r="C986" s="10" t="s">
        <v>99</v>
      </c>
      <c r="D986" s="11" t="s">
        <v>292</v>
      </c>
      <c r="E986" s="12">
        <v>390000</v>
      </c>
      <c r="F986" s="12"/>
      <c r="G986" s="12">
        <f t="shared" si="201"/>
        <v>0</v>
      </c>
      <c r="H986" s="12">
        <f t="shared" si="202"/>
        <v>0</v>
      </c>
      <c r="I986" s="12">
        <f t="shared" si="196"/>
        <v>0</v>
      </c>
      <c r="J986" s="12">
        <v>390000</v>
      </c>
      <c r="K986" s="12">
        <f t="shared" si="204"/>
        <v>0</v>
      </c>
      <c r="L986" s="74">
        <f t="shared" si="205"/>
        <v>0</v>
      </c>
      <c r="M986" s="11"/>
    </row>
    <row r="987" spans="2:13" ht="27" customHeight="1">
      <c r="B987" s="17"/>
      <c r="C987" s="18"/>
      <c r="D987" s="19" t="s">
        <v>405</v>
      </c>
      <c r="E987" s="20"/>
      <c r="F987" s="20"/>
      <c r="G987" s="20">
        <f>SUM(G981:G986)</f>
        <v>0</v>
      </c>
      <c r="H987" s="20">
        <f>SUM(H981:H986)</f>
        <v>0</v>
      </c>
      <c r="I987" s="20">
        <f>G987+H987</f>
        <v>0</v>
      </c>
      <c r="J987" s="20"/>
      <c r="K987" s="20"/>
      <c r="L987" s="20">
        <f>L981+L982+L984+L985+L986</f>
        <v>0</v>
      </c>
      <c r="M987" s="19"/>
    </row>
    <row r="988" spans="2:13" ht="35.25" customHeight="1">
      <c r="B988" s="9" t="s">
        <v>917</v>
      </c>
      <c r="C988" s="10" t="s">
        <v>45</v>
      </c>
      <c r="D988" s="11" t="s">
        <v>918</v>
      </c>
      <c r="E988" s="12">
        <v>1262185</v>
      </c>
      <c r="F988" s="73"/>
      <c r="G988" s="12">
        <f t="shared" ref="G988:G995" si="206">E988*F988</f>
        <v>0</v>
      </c>
      <c r="H988" s="12">
        <f t="shared" ref="H988:H994" si="207">G988/10</f>
        <v>0</v>
      </c>
      <c r="I988" s="12">
        <f t="shared" si="196"/>
        <v>0</v>
      </c>
      <c r="J988" s="12">
        <v>1253105</v>
      </c>
      <c r="K988" s="12">
        <f t="shared" ref="K988:K994" si="208">E988-J988</f>
        <v>9080</v>
      </c>
      <c r="L988" s="74">
        <f>F988*K988</f>
        <v>0</v>
      </c>
      <c r="M988" s="77" t="s">
        <v>916</v>
      </c>
    </row>
    <row r="989" spans="2:13" ht="35.25" customHeight="1">
      <c r="B989" s="13"/>
      <c r="C989" s="10" t="s">
        <v>23</v>
      </c>
      <c r="D989" s="11" t="s">
        <v>919</v>
      </c>
      <c r="E989" s="37"/>
      <c r="F989" s="73"/>
      <c r="G989" s="12">
        <f t="shared" si="206"/>
        <v>0</v>
      </c>
      <c r="H989" s="12">
        <f t="shared" si="207"/>
        <v>0</v>
      </c>
      <c r="I989" s="12">
        <f t="shared" si="196"/>
        <v>0</v>
      </c>
      <c r="J989" s="37">
        <v>0</v>
      </c>
      <c r="K989" s="12">
        <f t="shared" si="208"/>
        <v>0</v>
      </c>
      <c r="L989" s="74"/>
      <c r="M989" s="77"/>
    </row>
    <row r="990" spans="2:13" ht="35.25" customHeight="1">
      <c r="B990" s="13"/>
      <c r="C990" s="10" t="s">
        <v>23</v>
      </c>
      <c r="D990" s="11" t="s">
        <v>920</v>
      </c>
      <c r="E990" s="37"/>
      <c r="F990" s="73"/>
      <c r="G990" s="12">
        <f t="shared" si="206"/>
        <v>0</v>
      </c>
      <c r="H990" s="12">
        <f t="shared" si="207"/>
        <v>0</v>
      </c>
      <c r="I990" s="12">
        <f t="shared" si="196"/>
        <v>0</v>
      </c>
      <c r="J990" s="37">
        <v>0</v>
      </c>
      <c r="K990" s="12">
        <f t="shared" si="208"/>
        <v>0</v>
      </c>
      <c r="L990" s="74"/>
      <c r="M990" s="77"/>
    </row>
    <row r="991" spans="2:13" ht="27" customHeight="1">
      <c r="B991" s="13"/>
      <c r="C991" s="10" t="s">
        <v>99</v>
      </c>
      <c r="D991" s="11" t="s">
        <v>568</v>
      </c>
      <c r="E991" s="12"/>
      <c r="F991" s="76"/>
      <c r="G991" s="12">
        <f t="shared" si="206"/>
        <v>0</v>
      </c>
      <c r="H991" s="12">
        <f t="shared" si="207"/>
        <v>0</v>
      </c>
      <c r="I991" s="12">
        <f t="shared" si="196"/>
        <v>0</v>
      </c>
      <c r="J991" s="12">
        <v>0</v>
      </c>
      <c r="K991" s="12">
        <f t="shared" si="208"/>
        <v>0</v>
      </c>
      <c r="L991" s="74">
        <f>F991*K991</f>
        <v>0</v>
      </c>
      <c r="M991" s="11"/>
    </row>
    <row r="992" spans="2:13" ht="27" customHeight="1">
      <c r="B992" s="13"/>
      <c r="C992" s="10" t="s">
        <v>99</v>
      </c>
      <c r="D992" s="11" t="s">
        <v>569</v>
      </c>
      <c r="E992" s="12">
        <v>406690</v>
      </c>
      <c r="F992" s="12"/>
      <c r="G992" s="12">
        <f t="shared" si="206"/>
        <v>0</v>
      </c>
      <c r="H992" s="12">
        <f t="shared" si="207"/>
        <v>0</v>
      </c>
      <c r="I992" s="12">
        <f t="shared" si="196"/>
        <v>0</v>
      </c>
      <c r="J992" s="12">
        <v>406690</v>
      </c>
      <c r="K992" s="12">
        <f t="shared" si="208"/>
        <v>0</v>
      </c>
      <c r="L992" s="74">
        <f>F992*K992</f>
        <v>0</v>
      </c>
      <c r="M992" s="11"/>
    </row>
    <row r="993" spans="2:13" ht="27" customHeight="1">
      <c r="B993" s="13"/>
      <c r="C993" s="10" t="s">
        <v>99</v>
      </c>
      <c r="D993" s="11" t="s">
        <v>292</v>
      </c>
      <c r="E993" s="12">
        <v>700000</v>
      </c>
      <c r="F993" s="12"/>
      <c r="G993" s="12">
        <f t="shared" si="206"/>
        <v>0</v>
      </c>
      <c r="H993" s="12">
        <f t="shared" si="207"/>
        <v>0</v>
      </c>
      <c r="I993" s="12">
        <f t="shared" si="196"/>
        <v>0</v>
      </c>
      <c r="J993" s="12">
        <v>700000</v>
      </c>
      <c r="K993" s="12">
        <f t="shared" si="208"/>
        <v>0</v>
      </c>
      <c r="L993" s="74">
        <f>F993*K993</f>
        <v>0</v>
      </c>
      <c r="M993" s="11"/>
    </row>
    <row r="994" spans="2:13" ht="27" customHeight="1">
      <c r="B994" s="13"/>
      <c r="C994" s="10" t="s">
        <v>921</v>
      </c>
      <c r="D994" s="11" t="s">
        <v>922</v>
      </c>
      <c r="E994" s="12">
        <v>320</v>
      </c>
      <c r="F994" s="12"/>
      <c r="G994" s="12">
        <f t="shared" si="206"/>
        <v>0</v>
      </c>
      <c r="H994" s="12">
        <f t="shared" si="207"/>
        <v>0</v>
      </c>
      <c r="I994" s="12">
        <f t="shared" si="196"/>
        <v>0</v>
      </c>
      <c r="J994" s="12">
        <v>250</v>
      </c>
      <c r="K994" s="12">
        <f t="shared" si="208"/>
        <v>70</v>
      </c>
      <c r="L994" s="11">
        <f>F994*K994</f>
        <v>0</v>
      </c>
      <c r="M994" s="11"/>
    </row>
    <row r="995" spans="2:13" ht="27" customHeight="1">
      <c r="B995" s="13"/>
      <c r="C995" s="10" t="s">
        <v>909</v>
      </c>
      <c r="D995" s="11" t="s">
        <v>923</v>
      </c>
      <c r="E995" s="12">
        <v>250000</v>
      </c>
      <c r="F995" s="12"/>
      <c r="G995" s="12">
        <f t="shared" si="206"/>
        <v>0</v>
      </c>
      <c r="H995" s="12">
        <f>F995*G995</f>
        <v>0</v>
      </c>
      <c r="I995" s="12">
        <f>G995+H995</f>
        <v>0</v>
      </c>
      <c r="J995" s="12"/>
      <c r="K995" s="12"/>
      <c r="L995" s="102">
        <f>SUM(L981:L987)</f>
        <v>0</v>
      </c>
      <c r="M995" s="11"/>
    </row>
    <row r="996" spans="2:13" ht="27" customHeight="1">
      <c r="B996" s="17"/>
      <c r="C996" s="18"/>
      <c r="D996" s="19" t="s">
        <v>405</v>
      </c>
      <c r="E996" s="20"/>
      <c r="F996" s="20"/>
      <c r="G996" s="20">
        <f>SUM(G988:G994)</f>
        <v>0</v>
      </c>
      <c r="H996" s="20">
        <f>SUM(H988:H994)</f>
        <v>0</v>
      </c>
      <c r="I996" s="20">
        <f t="shared" si="196"/>
        <v>0</v>
      </c>
      <c r="J996" s="20"/>
      <c r="K996" s="20"/>
      <c r="L996" s="20">
        <f>L988+L993+L994</f>
        <v>0</v>
      </c>
      <c r="M996" s="19"/>
    </row>
    <row r="997" spans="2:13" ht="20.25" customHeight="1">
      <c r="B997" s="103" t="s">
        <v>924</v>
      </c>
      <c r="C997" s="104"/>
      <c r="D997" s="105"/>
      <c r="E997" s="21"/>
      <c r="F997" s="21"/>
      <c r="G997" s="21">
        <f>G987+G855+G62+G980+G971+G944+G935+G932+G929+G926+G923+G920+G912+G909+G906+G902+G899+G916+G896+G890+G571+G886+G883+G620+G421+G879+G875+G868+G862+G859+G851+G846+G842+G838+G834+G831+G827+G824+G820+G816+G812+G807+G803+G786+G782+G779+G776+G767+G760+G756+G752+G747+G743+G739+G735+G731+G727+G714+G703+G699+G695+G687+G672+G668+G660+G648+G646+G639+G636+G633+G626+G623+G617+G602+G599+G596+G569+G567+G564+G561+G557+G554+G530+G520+G517+G514+G511+G508+G502+G489+G483+G478+G467+G460+G456+G453+G450+G445+G440+G434+G424+G417+G412+G408+G401+G395+G391+G386+G381+G378+G372+G368+G365+G358+G355+G352+G349+G338+G325+G319+G315+G312+G309+G304+G298+G296+G294+G291+G288+G261+G252+G242+G228+G226+G217+G211+G201+G188+G176+G169+G167+G160+G130+G128+G126+G95+G90+G86+G81+G77+G58+G31+G26+G12+G948+G940+G893+G996</f>
        <v>95970300</v>
      </c>
      <c r="H997" s="21">
        <f>H987+H855+H62+H980+H971+H944+H935+H932+H929+H926+H923+H920+H912+H909+H906+H902+H899+H916+H896+H890+H571+H886+H883+H620+H421+H879+H875+H868+H862+H859+H851+H846+H842+H838+H834+H831+H827+H824+H820+H816+H812+H807+H803+H786+H782+H779+H776+H767+H760+H756+H752+H747+H743+H739+H735+H731+H727+H714+H703+H699+H695+H687+H672+H668+H660+H648+H646+H639+H636+H633+H626+H623+H617+H602+H599+H596+H569+H567+H564+H561+H557+H554+H530+H520+H517+H514+H511+H508+H502+H489+H483+H478+H467+H460+H456+H453+H450+H445+H440+H434+H424+H417+H412+H408+H401+H395+H391+H386+H381+H378+H372+H368+H365+H358+H355+H352+H349+H338+H325+H319+H315+H312+H309+H304+H298+H296+H294+H291+H288+H261+H252+H242+H228+H226+H217+H211+H201+H188+H176+H169+H167+H160+H130+H128+H126+H95+H90+H86+H81+H77+H58+H31+H26+H12+H948+H940+H893+H996</f>
        <v>9597030</v>
      </c>
      <c r="I997" s="21">
        <f>I987+I855+I62+I980+I971+I944+I935+I932+I929+I926+I923+I920+I912+I909+I906+I902+I899+I916+I896+I890+I571+I886+I883+I620+I421+I879+I875+I868+I862+I859+I851+I846+I842+I838+I834+I831+I827+I824+I820+I816+I812+I807+I803+I786+I782+I779+I776+I767+I760+I756+I752+I747+I743+I739+I735+I731+I727+I714+I703+I699+I695+I687+I672+I668+I660+I648+I646+I639+I636+I633+I626+I623+I617+I602+I599+I596+I569+I567+I564+I561+I557+I554+I530+I520+I517+I514+I511+I508+I502+I489+I483+I478+I467+I460+I456+I453+I450+I445+I440+I434+I424+I417+I412+I408+I401+I395+I391+I386+I381+I378+I372+I368+I365+I358+I355+I352+I349+I338+I325+I319+I315+I312+I309+I304+I298+I296+I294+I291+I288+I261+I252+I242+I228+I226+I217+I211+I201+I188+I176+I169+I167+I160+I130+I128+I126+I95+I90+I86+I81+I77+I58+I31+I26+I12+I948+I940+I893+I996</f>
        <v>105567330</v>
      </c>
      <c r="J997" s="21">
        <f>J987+J62+J971+J944+J935+J932+J929+J926+J923+J920+J912+J909+J906+J902+J899+J896+J890+J886+J883+J421+J879+J875+J868+J862+J859+J851+J846+J842+J838+J834+J831+J827+J824+J820+J816+J812+J807+J803+J786+J782+J779+J776+J767+J760+J756+J752+J747+J743+J739+J735+J731+J727+J714+J703+J699+J695+J687+J672+J668+J660+J980+J648+J646+J639+J636+J633+J626+J623+J617+J602+J599+J596+J569+J567+J564+J561+J557+J554+J530+J520+J517+J514+J511+J508+J502+J489+J483+J478+J467+J460+J456+J453+J450+J445+J440+J434+J424+J417+J412+J408+J401+J395+J391+J571+J620+J386+J381+J378+J372+J368+J365+J358+J355+J352+J349+J338+J325+J319+J315+J312+J309+J304+J298+J296+J294+J291+J288+J261+J252+J242+J228+J226+J217+J211+J201+J188+J176+J169+J167+J160+J130+J128+J126+J916+J95+J90+J86+J81+J77+J58+J31+J26+J12+J948+J940+J893+J996</f>
        <v>0</v>
      </c>
      <c r="K997" s="21">
        <f>K987+K62+K980+K971+K944+K935+K932+K929+K926+K923+K920+K912+K909+K906+K902+K899+K916+K896+K890+K571+K886+K883+K620+K421+K879+K875+K868+K862+K859+K851+K846+K842+K838+K834+K831+K827+K824+K820+K816+K812+K807+K803+K786+K782+K779+K776+K767+K760+K756+K752+K747+K743+K739+K735+K731+K727+K714+K703+K699+K695+K687+K672+K668+K660+K648+K646+K639+K636+K633+K626+K623+K617+K602+K599+K596+K569+K567+K564+K561+K557+K554+K530+K520+K517+K514+K511+K508+K502+K489+K483+K478+K467+K460+K456+K453+K450+K445+K440+K434+K424+K417+K412+K408+K401+K395+K391+K386+K381+K378+K372+K368+K365+K358+K355+K352+K349+K338+K325+K319+K315+K312+K309+K304+K298+K296+K294+K291+K288+K261+K252+K242+K228+K226+K217+K211+K201+K188+K176+K169+K167+K160+K130+K128+K126+K95+K90+K86+K81+K77+K58+K31+K26+K12+K948+K940+K893+K996</f>
        <v>0</v>
      </c>
      <c r="L997" s="21">
        <f>L987+L855+L62+L971+L944+L935+L932+L929+L926+L923+L920+L912+L909+L906+L902+L899+L896+L890+L886+L883+L421+L879+L875+L868+L862+L859+L851+L846+L842+L838+L834+L831+L827+L824+L820+L816+L812+L807+L803+L786+L782+L779+L776+L767+L760+L756+L752+L747+L743+L739+L735+L731+L727+L714+L703+L699+L695+L687+L672+L668+L660+L980+L648+L646+L639+L636+L633+L626+L623+L617+L602+L599+L596+L569+L567+L564+L561+L557+L554+L530+L520+L517+L514+L511+L508+L502+L489+L483+L478+L467+L460+L456+L453+L450+L445+L440+L434+L424+L417+L412+L408+L401+L395+L391+L571+L620+L386+L381+L378+L372+L368+L365+L358+L355+L352+L349+L338+L325+L319+L315+L312+L309+L304+L298+L296+L294+L291+L288+L261+L252+L242+L228+L226+L217+L211+L201+L188+L176+L169+L167+L160+L130+L128+L126+L916+L95+L90+L86+L81+L77+L58+L31+L26+L12+L948+L940+L893+L996</f>
        <v>11510250</v>
      </c>
      <c r="M997" s="106">
        <f>L997/G997</f>
        <v>0.11993554255847903</v>
      </c>
    </row>
    <row r="998" spans="2:13" ht="20.25" customHeight="1"/>
    <row r="999" spans="2:13" ht="20.25" customHeight="1">
      <c r="B999" s="107" t="s">
        <v>925</v>
      </c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9"/>
    </row>
    <row r="1000" spans="2:13" ht="20.25" customHeight="1">
      <c r="B1000" s="54" t="s">
        <v>926</v>
      </c>
      <c r="C1000" s="110" t="s">
        <v>927</v>
      </c>
      <c r="D1000" s="11" t="s">
        <v>928</v>
      </c>
      <c r="E1000" s="12">
        <v>403.1</v>
      </c>
      <c r="F1000" s="12"/>
      <c r="G1000" s="12">
        <f>E1000*F1000</f>
        <v>0</v>
      </c>
      <c r="H1000" s="12"/>
      <c r="I1000" s="12">
        <f>G1000+H1000</f>
        <v>0</v>
      </c>
      <c r="J1000" s="12">
        <v>289</v>
      </c>
      <c r="K1000" s="12">
        <f>E1000-J1000</f>
        <v>114.10000000000002</v>
      </c>
      <c r="L1000" s="12">
        <f>K1000*F1000</f>
        <v>0</v>
      </c>
      <c r="M1000" s="111"/>
    </row>
    <row r="1001" spans="2:13" ht="20.25" customHeight="1">
      <c r="B1001" s="55"/>
      <c r="C1001" s="112"/>
      <c r="D1001" s="11" t="s">
        <v>929</v>
      </c>
      <c r="E1001" s="12">
        <v>1352820</v>
      </c>
      <c r="F1001" s="12"/>
      <c r="G1001" s="12">
        <f>E1001*F1001</f>
        <v>0</v>
      </c>
      <c r="H1001" s="12"/>
      <c r="I1001" s="12">
        <f>G1001+H1001</f>
        <v>0</v>
      </c>
      <c r="J1001" s="12">
        <v>1051930</v>
      </c>
      <c r="K1001" s="12">
        <f>E1001-J1001</f>
        <v>300890</v>
      </c>
      <c r="L1001" s="12">
        <f>K1001*F1001</f>
        <v>0</v>
      </c>
      <c r="M1001" s="111"/>
    </row>
    <row r="1002" spans="2:13" ht="20.25" customHeight="1">
      <c r="B1002" s="56"/>
      <c r="C1002" s="113"/>
      <c r="D1002" s="113"/>
      <c r="E1002" s="114"/>
      <c r="F1002" s="115">
        <f t="shared" ref="F1002:L1002" si="209">SUM(F1000:F1001)</f>
        <v>0</v>
      </c>
      <c r="G1002" s="115">
        <f t="shared" si="209"/>
        <v>0</v>
      </c>
      <c r="H1002" s="115">
        <f t="shared" si="209"/>
        <v>0</v>
      </c>
      <c r="I1002" s="115">
        <f t="shared" si="209"/>
        <v>0</v>
      </c>
      <c r="J1002" s="115">
        <f t="shared" si="209"/>
        <v>1052219</v>
      </c>
      <c r="K1002" s="115">
        <f t="shared" si="209"/>
        <v>301004.09999999998</v>
      </c>
      <c r="L1002" s="115">
        <f t="shared" si="209"/>
        <v>0</v>
      </c>
      <c r="M1002" s="116"/>
    </row>
    <row r="1003" spans="2:13" ht="20.25" customHeight="1">
      <c r="B1003" s="9" t="s">
        <v>930</v>
      </c>
      <c r="C1003" s="110" t="s">
        <v>927</v>
      </c>
      <c r="D1003" s="11" t="s">
        <v>931</v>
      </c>
      <c r="E1003" s="12">
        <v>17025</v>
      </c>
      <c r="F1003" s="12"/>
      <c r="G1003" s="12">
        <f>E1003*F1003</f>
        <v>0</v>
      </c>
      <c r="H1003" s="12"/>
      <c r="I1003" s="12">
        <f t="shared" ref="I1003:I1067" si="210">G1003+H1003</f>
        <v>0</v>
      </c>
      <c r="J1003" s="12">
        <v>11419</v>
      </c>
      <c r="K1003" s="12">
        <f>E1003-J1003</f>
        <v>5606</v>
      </c>
      <c r="L1003" s="72">
        <f>F1003*K1003</f>
        <v>0</v>
      </c>
      <c r="M1003" s="117" t="s">
        <v>932</v>
      </c>
    </row>
    <row r="1004" spans="2:13" ht="20.25" customHeight="1">
      <c r="B1004" s="13"/>
      <c r="C1004" s="112"/>
      <c r="D1004" s="11" t="s">
        <v>933</v>
      </c>
      <c r="E1004" s="12">
        <v>13762</v>
      </c>
      <c r="F1004" s="12"/>
      <c r="G1004" s="12">
        <f>E1004*F1004</f>
        <v>0</v>
      </c>
      <c r="H1004" s="12"/>
      <c r="I1004" s="12">
        <f t="shared" si="210"/>
        <v>0</v>
      </c>
      <c r="J1004" s="12">
        <v>11100</v>
      </c>
      <c r="K1004" s="12">
        <f>E1004-J1004</f>
        <v>2662</v>
      </c>
      <c r="L1004" s="11">
        <f>F1004*K1004</f>
        <v>0</v>
      </c>
      <c r="M1004" s="117"/>
    </row>
    <row r="1005" spans="2:13" ht="20.25" customHeight="1">
      <c r="B1005" s="13"/>
      <c r="C1005" s="118"/>
      <c r="D1005" s="11" t="s">
        <v>934</v>
      </c>
      <c r="E1005" s="12">
        <v>14096</v>
      </c>
      <c r="F1005" s="12"/>
      <c r="G1005" s="12">
        <f>E1005*F1005</f>
        <v>0</v>
      </c>
      <c r="H1005" s="12"/>
      <c r="I1005" s="12">
        <f t="shared" si="210"/>
        <v>0</v>
      </c>
      <c r="J1005" s="12">
        <v>11100</v>
      </c>
      <c r="K1005" s="12">
        <f>E1005-J1005</f>
        <v>2996</v>
      </c>
      <c r="L1005" s="11">
        <f>F1005*K1005</f>
        <v>0</v>
      </c>
      <c r="M1005" s="117"/>
    </row>
    <row r="1006" spans="2:13" ht="20.25" customHeight="1">
      <c r="B1006" s="17"/>
      <c r="C1006" s="113"/>
      <c r="D1006" s="113"/>
      <c r="E1006" s="114"/>
      <c r="F1006" s="115"/>
      <c r="G1006" s="115">
        <f>SUM(G1003:G1005)</f>
        <v>0</v>
      </c>
      <c r="H1006" s="115"/>
      <c r="I1006" s="115">
        <f t="shared" si="210"/>
        <v>0</v>
      </c>
      <c r="J1006" s="115"/>
      <c r="K1006" s="115"/>
      <c r="L1006" s="115">
        <f>SUM(L1003:L1005)</f>
        <v>0</v>
      </c>
      <c r="M1006" s="116" t="e">
        <f>L1006/G1006</f>
        <v>#DIV/0!</v>
      </c>
    </row>
    <row r="1007" spans="2:13" ht="20.25" customHeight="1">
      <c r="B1007" s="9" t="s">
        <v>935</v>
      </c>
      <c r="C1007" s="110" t="s">
        <v>927</v>
      </c>
      <c r="D1007" s="11" t="s">
        <v>936</v>
      </c>
      <c r="E1007" s="12">
        <v>13087</v>
      </c>
      <c r="F1007" s="12"/>
      <c r="G1007" s="12">
        <f>E1007*F1007</f>
        <v>0</v>
      </c>
      <c r="H1007" s="12"/>
      <c r="I1007" s="12">
        <f>G1007</f>
        <v>0</v>
      </c>
      <c r="J1007" s="12">
        <v>7133</v>
      </c>
      <c r="K1007" s="12">
        <f>E1007-J1007</f>
        <v>5954</v>
      </c>
      <c r="L1007" s="11">
        <f>K1007*F1007</f>
        <v>0</v>
      </c>
      <c r="M1007" s="11" t="s">
        <v>937</v>
      </c>
    </row>
    <row r="1008" spans="2:13" ht="20.25" customHeight="1">
      <c r="B1008" s="13"/>
      <c r="C1008" s="112"/>
      <c r="D1008" s="11" t="s">
        <v>938</v>
      </c>
      <c r="E1008" s="33">
        <v>13087</v>
      </c>
      <c r="F1008" s="12"/>
      <c r="G1008" s="12">
        <f>E1008*F1008</f>
        <v>0</v>
      </c>
      <c r="H1008" s="12"/>
      <c r="I1008" s="12">
        <f>G1008+H1008</f>
        <v>0</v>
      </c>
      <c r="J1008" s="12">
        <v>7500</v>
      </c>
      <c r="K1008" s="12">
        <f>E1008-J1008</f>
        <v>5587</v>
      </c>
      <c r="L1008" s="11">
        <f>F1008*K1008</f>
        <v>0</v>
      </c>
      <c r="M1008" s="11" t="s">
        <v>937</v>
      </c>
    </row>
    <row r="1009" spans="2:13" ht="20.25" customHeight="1">
      <c r="B1009" s="13"/>
      <c r="C1009" s="112"/>
      <c r="D1009" s="11" t="s">
        <v>939</v>
      </c>
      <c r="E1009" s="12">
        <v>864</v>
      </c>
      <c r="F1009" s="12"/>
      <c r="G1009" s="12">
        <f>E1009*F1009</f>
        <v>0</v>
      </c>
      <c r="H1009" s="12"/>
      <c r="I1009" s="12">
        <f>G1009+H1009</f>
        <v>0</v>
      </c>
      <c r="J1009" s="12">
        <v>715</v>
      </c>
      <c r="K1009" s="12">
        <f>E1009-J1009</f>
        <v>149</v>
      </c>
      <c r="L1009" s="11">
        <f>F1009*K1009</f>
        <v>0</v>
      </c>
      <c r="M1009" s="11"/>
    </row>
    <row r="1010" spans="2:13" ht="20.25" customHeight="1">
      <c r="B1010" s="13"/>
      <c r="C1010" s="112"/>
      <c r="D1010" s="11" t="s">
        <v>940</v>
      </c>
      <c r="E1010" s="12">
        <v>8113</v>
      </c>
      <c r="F1010" s="12"/>
      <c r="G1010" s="12">
        <f>E1010*F1010</f>
        <v>0</v>
      </c>
      <c r="H1010" s="12">
        <f>G1010/10</f>
        <v>0</v>
      </c>
      <c r="I1010" s="12">
        <f t="shared" si="210"/>
        <v>0</v>
      </c>
      <c r="J1010" s="12">
        <v>6800</v>
      </c>
      <c r="K1010" s="12">
        <f>E1010-J1010</f>
        <v>1313</v>
      </c>
      <c r="L1010" s="11">
        <f>F1010*K1010</f>
        <v>0</v>
      </c>
      <c r="M1010" s="11" t="s">
        <v>937</v>
      </c>
    </row>
    <row r="1011" spans="2:13" ht="20.25" customHeight="1">
      <c r="B1011" s="13"/>
      <c r="C1011" s="118"/>
      <c r="D1011" s="11" t="s">
        <v>941</v>
      </c>
      <c r="E1011" s="12">
        <v>598320</v>
      </c>
      <c r="F1011" s="12"/>
      <c r="G1011" s="12">
        <f>E1011*F1011</f>
        <v>0</v>
      </c>
      <c r="H1011" s="12"/>
      <c r="I1011" s="12">
        <f t="shared" si="210"/>
        <v>0</v>
      </c>
      <c r="J1011" s="12">
        <v>521990</v>
      </c>
      <c r="K1011" s="12">
        <f>E1011-J1011</f>
        <v>76330</v>
      </c>
      <c r="L1011" s="11">
        <f>F1011*K1011</f>
        <v>0</v>
      </c>
      <c r="M1011" s="11" t="s">
        <v>937</v>
      </c>
    </row>
    <row r="1012" spans="2:13" ht="20.25" customHeight="1">
      <c r="B1012" s="17"/>
      <c r="C1012" s="113"/>
      <c r="D1012" s="114"/>
      <c r="E1012" s="115"/>
      <c r="F1012" s="115"/>
      <c r="G1012" s="115">
        <f>SUM(G1007:G1011)</f>
        <v>0</v>
      </c>
      <c r="H1012" s="115"/>
      <c r="I1012" s="115">
        <f>G1012+H1012</f>
        <v>0</v>
      </c>
      <c r="J1012" s="115"/>
      <c r="K1012" s="115"/>
      <c r="L1012" s="115">
        <f>L1007+L1008</f>
        <v>0</v>
      </c>
      <c r="M1012" s="119"/>
    </row>
    <row r="1013" spans="2:13" ht="20.25" customHeight="1">
      <c r="B1013" s="9" t="s">
        <v>942</v>
      </c>
      <c r="C1013" s="120" t="s">
        <v>943</v>
      </c>
      <c r="D1013" s="11" t="s">
        <v>944</v>
      </c>
      <c r="E1013" s="12">
        <v>310</v>
      </c>
      <c r="F1013" s="12"/>
      <c r="G1013" s="12">
        <f t="shared" ref="G1013:G1053" si="211">E1013*F1013</f>
        <v>0</v>
      </c>
      <c r="H1013" s="12">
        <f>G1013/10</f>
        <v>0</v>
      </c>
      <c r="I1013" s="12">
        <f t="shared" si="210"/>
        <v>0</v>
      </c>
      <c r="J1013" s="12">
        <v>280</v>
      </c>
      <c r="K1013" s="12">
        <f t="shared" ref="K1013:K1053" si="212">E1013-J1013</f>
        <v>30</v>
      </c>
      <c r="L1013" s="11">
        <f t="shared" ref="L1013:L1052" si="213">F1013*K1013</f>
        <v>0</v>
      </c>
      <c r="M1013" s="117"/>
    </row>
    <row r="1014" spans="2:13" ht="20.25" customHeight="1">
      <c r="B1014" s="13"/>
      <c r="C1014" s="112"/>
      <c r="D1014" s="11" t="s">
        <v>945</v>
      </c>
      <c r="E1014" s="12">
        <v>320</v>
      </c>
      <c r="F1014" s="12"/>
      <c r="G1014" s="12">
        <f t="shared" si="211"/>
        <v>0</v>
      </c>
      <c r="H1014" s="12">
        <f>G1014/10</f>
        <v>0</v>
      </c>
      <c r="I1014" s="12">
        <f t="shared" si="210"/>
        <v>0</v>
      </c>
      <c r="J1014" s="12">
        <v>280</v>
      </c>
      <c r="K1014" s="12">
        <f t="shared" si="212"/>
        <v>40</v>
      </c>
      <c r="L1014" s="11">
        <f t="shared" si="213"/>
        <v>0</v>
      </c>
      <c r="M1014" s="117"/>
    </row>
    <row r="1015" spans="2:13" ht="20.25" customHeight="1">
      <c r="B1015" s="13"/>
      <c r="C1015" s="112"/>
      <c r="D1015" s="11" t="s">
        <v>946</v>
      </c>
      <c r="E1015" s="12">
        <v>260</v>
      </c>
      <c r="F1015" s="12"/>
      <c r="G1015" s="12">
        <f t="shared" si="211"/>
        <v>0</v>
      </c>
      <c r="H1015" s="12">
        <v>0</v>
      </c>
      <c r="I1015" s="12">
        <f t="shared" si="210"/>
        <v>0</v>
      </c>
      <c r="J1015" s="12">
        <v>240</v>
      </c>
      <c r="K1015" s="12">
        <f t="shared" si="212"/>
        <v>20</v>
      </c>
      <c r="L1015" s="11">
        <f t="shared" si="213"/>
        <v>0</v>
      </c>
      <c r="M1015" s="121"/>
    </row>
    <row r="1016" spans="2:13" ht="20.25" customHeight="1">
      <c r="B1016" s="13"/>
      <c r="C1016" s="112"/>
      <c r="D1016" s="11" t="s">
        <v>947</v>
      </c>
      <c r="E1016" s="12">
        <v>310</v>
      </c>
      <c r="F1016" s="12"/>
      <c r="G1016" s="12">
        <f t="shared" si="211"/>
        <v>0</v>
      </c>
      <c r="H1016" s="12">
        <f>G1016/10</f>
        <v>0</v>
      </c>
      <c r="I1016" s="12">
        <f t="shared" si="210"/>
        <v>0</v>
      </c>
      <c r="J1016" s="12">
        <v>280</v>
      </c>
      <c r="K1016" s="12">
        <f t="shared" si="212"/>
        <v>30</v>
      </c>
      <c r="L1016" s="11">
        <f t="shared" si="213"/>
        <v>0</v>
      </c>
      <c r="M1016" s="117"/>
    </row>
    <row r="1017" spans="2:13" ht="20.25" customHeight="1">
      <c r="B1017" s="13"/>
      <c r="C1017" s="112"/>
      <c r="D1017" s="11" t="s">
        <v>948</v>
      </c>
      <c r="E1017" s="12">
        <v>310</v>
      </c>
      <c r="F1017" s="12"/>
      <c r="G1017" s="12">
        <f t="shared" si="211"/>
        <v>0</v>
      </c>
      <c r="H1017" s="12">
        <f>G1017/10</f>
        <v>0</v>
      </c>
      <c r="I1017" s="12">
        <f t="shared" si="210"/>
        <v>0</v>
      </c>
      <c r="J1017" s="12">
        <v>280</v>
      </c>
      <c r="K1017" s="12">
        <f t="shared" si="212"/>
        <v>30</v>
      </c>
      <c r="L1017" s="11">
        <f t="shared" si="213"/>
        <v>0</v>
      </c>
      <c r="M1017" s="117"/>
    </row>
    <row r="1018" spans="2:13" ht="20.25" customHeight="1">
      <c r="B1018" s="13"/>
      <c r="C1018" s="112"/>
      <c r="D1018" s="48" t="s">
        <v>949</v>
      </c>
      <c r="E1018" s="52">
        <v>570</v>
      </c>
      <c r="F1018" s="52"/>
      <c r="G1018" s="52">
        <f t="shared" si="211"/>
        <v>0</v>
      </c>
      <c r="H1018" s="52"/>
      <c r="I1018" s="52">
        <f t="shared" si="210"/>
        <v>0</v>
      </c>
      <c r="J1018" s="52">
        <v>520</v>
      </c>
      <c r="K1018" s="52">
        <f t="shared" si="212"/>
        <v>50</v>
      </c>
      <c r="L1018" s="48">
        <f t="shared" si="213"/>
        <v>0</v>
      </c>
      <c r="M1018" s="122"/>
    </row>
    <row r="1019" spans="2:13" ht="20.25" customHeight="1">
      <c r="B1019" s="13"/>
      <c r="C1019" s="112"/>
      <c r="D1019" s="48" t="s">
        <v>950</v>
      </c>
      <c r="E1019" s="52">
        <v>580</v>
      </c>
      <c r="F1019" s="52"/>
      <c r="G1019" s="52">
        <f t="shared" si="211"/>
        <v>0</v>
      </c>
      <c r="H1019" s="52"/>
      <c r="I1019" s="52">
        <f t="shared" si="210"/>
        <v>0</v>
      </c>
      <c r="J1019" s="52">
        <v>380</v>
      </c>
      <c r="K1019" s="52">
        <f t="shared" si="212"/>
        <v>200</v>
      </c>
      <c r="L1019" s="48">
        <f t="shared" si="213"/>
        <v>0</v>
      </c>
      <c r="M1019" s="122"/>
    </row>
    <row r="1020" spans="2:13" ht="20.25" customHeight="1">
      <c r="B1020" s="13"/>
      <c r="C1020" s="112"/>
      <c r="D1020" s="48" t="s">
        <v>951</v>
      </c>
      <c r="E1020" s="52">
        <v>600</v>
      </c>
      <c r="F1020" s="52"/>
      <c r="G1020" s="52">
        <f t="shared" si="211"/>
        <v>0</v>
      </c>
      <c r="H1020" s="52"/>
      <c r="I1020" s="52">
        <f t="shared" si="210"/>
        <v>0</v>
      </c>
      <c r="J1020" s="52">
        <v>400</v>
      </c>
      <c r="K1020" s="52">
        <f t="shared" si="212"/>
        <v>200</v>
      </c>
      <c r="L1020" s="48">
        <f t="shared" si="213"/>
        <v>0</v>
      </c>
      <c r="M1020" s="122"/>
    </row>
    <row r="1021" spans="2:13" ht="20.25" customHeight="1">
      <c r="B1021" s="13"/>
      <c r="C1021" s="112"/>
      <c r="D1021" s="48" t="s">
        <v>952</v>
      </c>
      <c r="E1021" s="52">
        <v>600</v>
      </c>
      <c r="F1021" s="52"/>
      <c r="G1021" s="52">
        <f t="shared" si="211"/>
        <v>0</v>
      </c>
      <c r="H1021" s="52"/>
      <c r="I1021" s="52">
        <f t="shared" si="210"/>
        <v>0</v>
      </c>
      <c r="J1021" s="52">
        <v>538</v>
      </c>
      <c r="K1021" s="52">
        <f t="shared" si="212"/>
        <v>62</v>
      </c>
      <c r="L1021" s="48">
        <f t="shared" si="213"/>
        <v>0</v>
      </c>
      <c r="M1021" s="122"/>
    </row>
    <row r="1022" spans="2:13" ht="20.25" customHeight="1">
      <c r="B1022" s="13"/>
      <c r="C1022" s="112"/>
      <c r="D1022" s="48" t="s">
        <v>953</v>
      </c>
      <c r="E1022" s="52">
        <v>600</v>
      </c>
      <c r="F1022" s="52"/>
      <c r="G1022" s="52">
        <f t="shared" si="211"/>
        <v>0</v>
      </c>
      <c r="H1022" s="52"/>
      <c r="I1022" s="52">
        <f t="shared" si="210"/>
        <v>0</v>
      </c>
      <c r="J1022" s="52">
        <v>538</v>
      </c>
      <c r="K1022" s="52">
        <f t="shared" si="212"/>
        <v>62</v>
      </c>
      <c r="L1022" s="48">
        <f t="shared" si="213"/>
        <v>0</v>
      </c>
      <c r="M1022" s="123"/>
    </row>
    <row r="1023" spans="2:13" ht="20.25" customHeight="1">
      <c r="B1023" s="13"/>
      <c r="C1023" s="112"/>
      <c r="D1023" s="48" t="s">
        <v>954</v>
      </c>
      <c r="E1023" s="52">
        <v>600</v>
      </c>
      <c r="F1023" s="52"/>
      <c r="G1023" s="52">
        <f t="shared" si="211"/>
        <v>0</v>
      </c>
      <c r="H1023" s="52"/>
      <c r="I1023" s="52">
        <f t="shared" si="210"/>
        <v>0</v>
      </c>
      <c r="J1023" s="52">
        <v>538</v>
      </c>
      <c r="K1023" s="52">
        <f t="shared" si="212"/>
        <v>62</v>
      </c>
      <c r="L1023" s="48">
        <f t="shared" si="213"/>
        <v>0</v>
      </c>
      <c r="M1023" s="123"/>
    </row>
    <row r="1024" spans="2:13" ht="20.25" customHeight="1">
      <c r="B1024" s="13"/>
      <c r="C1024" s="112"/>
      <c r="D1024" s="48" t="s">
        <v>955</v>
      </c>
      <c r="E1024" s="52">
        <v>580</v>
      </c>
      <c r="F1024" s="52"/>
      <c r="G1024" s="52">
        <f t="shared" si="211"/>
        <v>0</v>
      </c>
      <c r="H1024" s="52"/>
      <c r="I1024" s="52">
        <f t="shared" si="210"/>
        <v>0</v>
      </c>
      <c r="J1024" s="52">
        <v>488</v>
      </c>
      <c r="K1024" s="52">
        <f t="shared" si="212"/>
        <v>92</v>
      </c>
      <c r="L1024" s="48">
        <f t="shared" si="213"/>
        <v>0</v>
      </c>
      <c r="M1024" s="123"/>
    </row>
    <row r="1025" spans="2:13" ht="20.25" customHeight="1">
      <c r="B1025" s="13"/>
      <c r="C1025" s="112"/>
      <c r="D1025" s="11" t="s">
        <v>956</v>
      </c>
      <c r="E1025" s="12">
        <v>680</v>
      </c>
      <c r="F1025" s="12"/>
      <c r="G1025" s="12">
        <f t="shared" si="211"/>
        <v>0</v>
      </c>
      <c r="H1025" s="12">
        <f t="shared" ref="H1025:H1031" si="214">G1025/10</f>
        <v>0</v>
      </c>
      <c r="I1025" s="12">
        <f t="shared" si="210"/>
        <v>0</v>
      </c>
      <c r="J1025" s="12">
        <v>625</v>
      </c>
      <c r="K1025" s="12">
        <f t="shared" si="212"/>
        <v>55</v>
      </c>
      <c r="L1025" s="11">
        <f t="shared" si="213"/>
        <v>0</v>
      </c>
      <c r="M1025" s="117"/>
    </row>
    <row r="1026" spans="2:13" ht="20.25" customHeight="1">
      <c r="B1026" s="13"/>
      <c r="C1026" s="112"/>
      <c r="D1026" s="11" t="s">
        <v>957</v>
      </c>
      <c r="E1026" s="12">
        <v>650</v>
      </c>
      <c r="F1026" s="12"/>
      <c r="G1026" s="12">
        <f t="shared" si="211"/>
        <v>0</v>
      </c>
      <c r="H1026" s="12">
        <f t="shared" si="214"/>
        <v>0</v>
      </c>
      <c r="I1026" s="12">
        <f t="shared" si="210"/>
        <v>0</v>
      </c>
      <c r="J1026" s="12">
        <v>610</v>
      </c>
      <c r="K1026" s="12">
        <f t="shared" si="212"/>
        <v>40</v>
      </c>
      <c r="L1026" s="11">
        <f t="shared" si="213"/>
        <v>0</v>
      </c>
      <c r="M1026" s="117"/>
    </row>
    <row r="1027" spans="2:13" ht="20.25" customHeight="1">
      <c r="B1027" s="13"/>
      <c r="C1027" s="112"/>
      <c r="D1027" s="11" t="s">
        <v>958</v>
      </c>
      <c r="E1027" s="12">
        <v>580</v>
      </c>
      <c r="F1027" s="12"/>
      <c r="G1027" s="12">
        <f t="shared" si="211"/>
        <v>0</v>
      </c>
      <c r="H1027" s="12">
        <f t="shared" si="214"/>
        <v>0</v>
      </c>
      <c r="I1027" s="12">
        <f t="shared" si="210"/>
        <v>0</v>
      </c>
      <c r="J1027" s="12">
        <v>570</v>
      </c>
      <c r="K1027" s="12">
        <f t="shared" si="212"/>
        <v>10</v>
      </c>
      <c r="L1027" s="11">
        <f t="shared" si="213"/>
        <v>0</v>
      </c>
      <c r="M1027" s="117"/>
    </row>
    <row r="1028" spans="2:13" ht="20.25" customHeight="1">
      <c r="B1028" s="13"/>
      <c r="C1028" s="112"/>
      <c r="D1028" s="11" t="s">
        <v>959</v>
      </c>
      <c r="E1028" s="12">
        <v>570</v>
      </c>
      <c r="F1028" s="12"/>
      <c r="G1028" s="12">
        <f t="shared" si="211"/>
        <v>0</v>
      </c>
      <c r="H1028" s="12">
        <f t="shared" si="214"/>
        <v>0</v>
      </c>
      <c r="I1028" s="12">
        <f t="shared" si="210"/>
        <v>0</v>
      </c>
      <c r="J1028" s="12">
        <v>530</v>
      </c>
      <c r="K1028" s="12">
        <f t="shared" si="212"/>
        <v>40</v>
      </c>
      <c r="L1028" s="11">
        <f t="shared" si="213"/>
        <v>0</v>
      </c>
      <c r="M1028" s="117"/>
    </row>
    <row r="1029" spans="2:13" ht="20.25" customHeight="1">
      <c r="B1029" s="13"/>
      <c r="C1029" s="112"/>
      <c r="D1029" s="124" t="s">
        <v>960</v>
      </c>
      <c r="E1029" s="101">
        <v>250</v>
      </c>
      <c r="F1029" s="101"/>
      <c r="G1029" s="101">
        <f t="shared" si="211"/>
        <v>0</v>
      </c>
      <c r="H1029" s="101">
        <f t="shared" si="214"/>
        <v>0</v>
      </c>
      <c r="I1029" s="101">
        <f t="shared" si="210"/>
        <v>0</v>
      </c>
      <c r="J1029" s="101">
        <v>230</v>
      </c>
      <c r="K1029" s="101">
        <f t="shared" si="212"/>
        <v>20</v>
      </c>
      <c r="L1029" s="124">
        <f t="shared" si="213"/>
        <v>0</v>
      </c>
      <c r="M1029" s="121"/>
    </row>
    <row r="1030" spans="2:13" ht="20.25" customHeight="1">
      <c r="B1030" s="13"/>
      <c r="C1030" s="112"/>
      <c r="D1030" s="124" t="s">
        <v>961</v>
      </c>
      <c r="E1030" s="101">
        <v>250</v>
      </c>
      <c r="F1030" s="101"/>
      <c r="G1030" s="101">
        <f t="shared" si="211"/>
        <v>0</v>
      </c>
      <c r="H1030" s="101">
        <f t="shared" si="214"/>
        <v>0</v>
      </c>
      <c r="I1030" s="101">
        <f t="shared" si="210"/>
        <v>0</v>
      </c>
      <c r="J1030" s="101">
        <v>230</v>
      </c>
      <c r="K1030" s="101">
        <f t="shared" si="212"/>
        <v>20</v>
      </c>
      <c r="L1030" s="124">
        <f t="shared" si="213"/>
        <v>0</v>
      </c>
      <c r="M1030" s="121"/>
    </row>
    <row r="1031" spans="2:13" ht="20.25" customHeight="1">
      <c r="B1031" s="13"/>
      <c r="C1031" s="112"/>
      <c r="D1031" s="124" t="s">
        <v>962</v>
      </c>
      <c r="E1031" s="101">
        <v>250</v>
      </c>
      <c r="F1031" s="101"/>
      <c r="G1031" s="101">
        <f t="shared" si="211"/>
        <v>0</v>
      </c>
      <c r="H1031" s="101">
        <f t="shared" si="214"/>
        <v>0</v>
      </c>
      <c r="I1031" s="101">
        <f t="shared" si="210"/>
        <v>0</v>
      </c>
      <c r="J1031" s="101">
        <v>230</v>
      </c>
      <c r="K1031" s="101">
        <f t="shared" si="212"/>
        <v>20</v>
      </c>
      <c r="L1031" s="124">
        <f t="shared" si="213"/>
        <v>0</v>
      </c>
      <c r="M1031" s="121"/>
    </row>
    <row r="1032" spans="2:13" ht="20.25" customHeight="1">
      <c r="B1032" s="13"/>
      <c r="C1032" s="112"/>
      <c r="D1032" s="124" t="s">
        <v>963</v>
      </c>
      <c r="E1032" s="101">
        <v>260</v>
      </c>
      <c r="F1032" s="101"/>
      <c r="G1032" s="101">
        <f t="shared" si="211"/>
        <v>0</v>
      </c>
      <c r="H1032" s="101">
        <v>0</v>
      </c>
      <c r="I1032" s="101">
        <f t="shared" si="210"/>
        <v>0</v>
      </c>
      <c r="J1032" s="101">
        <v>240</v>
      </c>
      <c r="K1032" s="101">
        <f t="shared" si="212"/>
        <v>20</v>
      </c>
      <c r="L1032" s="124">
        <f t="shared" si="213"/>
        <v>0</v>
      </c>
      <c r="M1032" s="121"/>
    </row>
    <row r="1033" spans="2:13" ht="20.25" customHeight="1">
      <c r="B1033" s="13"/>
      <c r="C1033" s="112"/>
      <c r="D1033" s="11" t="s">
        <v>964</v>
      </c>
      <c r="E1033" s="12">
        <v>380</v>
      </c>
      <c r="F1033" s="12"/>
      <c r="G1033" s="12">
        <f t="shared" si="211"/>
        <v>0</v>
      </c>
      <c r="H1033" s="12">
        <f>G1033/10</f>
        <v>0</v>
      </c>
      <c r="I1033" s="12">
        <f t="shared" si="210"/>
        <v>0</v>
      </c>
      <c r="J1033" s="12">
        <v>330</v>
      </c>
      <c r="K1033" s="12">
        <f t="shared" si="212"/>
        <v>50</v>
      </c>
      <c r="L1033" s="11">
        <f t="shared" si="213"/>
        <v>0</v>
      </c>
      <c r="M1033" s="117"/>
    </row>
    <row r="1034" spans="2:13" ht="20.25" customHeight="1">
      <c r="B1034" s="13"/>
      <c r="C1034" s="112"/>
      <c r="D1034" s="11" t="s">
        <v>965</v>
      </c>
      <c r="E1034" s="12">
        <v>380</v>
      </c>
      <c r="F1034" s="12"/>
      <c r="G1034" s="12">
        <f t="shared" si="211"/>
        <v>0</v>
      </c>
      <c r="H1034" s="12">
        <f>G1034/10</f>
        <v>0</v>
      </c>
      <c r="I1034" s="12">
        <f t="shared" si="210"/>
        <v>0</v>
      </c>
      <c r="J1034" s="12">
        <v>330</v>
      </c>
      <c r="K1034" s="12">
        <f t="shared" si="212"/>
        <v>50</v>
      </c>
      <c r="L1034" s="11">
        <f t="shared" si="213"/>
        <v>0</v>
      </c>
      <c r="M1034" s="117"/>
    </row>
    <row r="1035" spans="2:13" ht="20.25" customHeight="1">
      <c r="B1035" s="13"/>
      <c r="C1035" s="112"/>
      <c r="D1035" s="11" t="s">
        <v>966</v>
      </c>
      <c r="E1035" s="12">
        <v>-70</v>
      </c>
      <c r="F1035" s="12"/>
      <c r="G1035" s="12">
        <f t="shared" si="211"/>
        <v>0</v>
      </c>
      <c r="H1035" s="12">
        <f>G1035/10</f>
        <v>0</v>
      </c>
      <c r="I1035" s="12">
        <f t="shared" si="210"/>
        <v>0</v>
      </c>
      <c r="J1035" s="12"/>
      <c r="K1035" s="12">
        <f t="shared" si="212"/>
        <v>-70</v>
      </c>
      <c r="L1035" s="11">
        <f t="shared" si="213"/>
        <v>0</v>
      </c>
      <c r="M1035" s="117"/>
    </row>
    <row r="1036" spans="2:13" ht="20.25" customHeight="1">
      <c r="B1036" s="13"/>
      <c r="C1036" s="112"/>
      <c r="D1036" s="11" t="s">
        <v>965</v>
      </c>
      <c r="E1036" s="12">
        <v>-70</v>
      </c>
      <c r="F1036" s="12"/>
      <c r="G1036" s="12">
        <f t="shared" si="211"/>
        <v>0</v>
      </c>
      <c r="H1036" s="12">
        <f>G1036/10</f>
        <v>0</v>
      </c>
      <c r="I1036" s="12">
        <f t="shared" si="210"/>
        <v>0</v>
      </c>
      <c r="J1036" s="12"/>
      <c r="K1036" s="12">
        <f t="shared" si="212"/>
        <v>-70</v>
      </c>
      <c r="L1036" s="11">
        <f t="shared" si="213"/>
        <v>0</v>
      </c>
      <c r="M1036" s="117"/>
    </row>
    <row r="1037" spans="2:13" ht="20.25" customHeight="1">
      <c r="B1037" s="13"/>
      <c r="C1037" s="112"/>
      <c r="D1037" s="11" t="s">
        <v>967</v>
      </c>
      <c r="E1037" s="12">
        <v>265</v>
      </c>
      <c r="F1037" s="12"/>
      <c r="G1037" s="12">
        <f t="shared" si="211"/>
        <v>0</v>
      </c>
      <c r="H1037" s="12">
        <v>0</v>
      </c>
      <c r="I1037" s="12">
        <f t="shared" si="210"/>
        <v>0</v>
      </c>
      <c r="J1037" s="12">
        <v>230</v>
      </c>
      <c r="K1037" s="12">
        <f t="shared" si="212"/>
        <v>35</v>
      </c>
      <c r="L1037" s="11">
        <f t="shared" si="213"/>
        <v>0</v>
      </c>
      <c r="M1037" s="121"/>
    </row>
    <row r="1038" spans="2:13" ht="20.25" customHeight="1">
      <c r="B1038" s="13"/>
      <c r="C1038" s="112"/>
      <c r="D1038" s="11" t="s">
        <v>968</v>
      </c>
      <c r="E1038" s="12">
        <v>265</v>
      </c>
      <c r="F1038" s="12"/>
      <c r="G1038" s="12">
        <f t="shared" si="211"/>
        <v>0</v>
      </c>
      <c r="H1038" s="12">
        <v>0</v>
      </c>
      <c r="I1038" s="12">
        <f t="shared" si="210"/>
        <v>0</v>
      </c>
      <c r="J1038" s="12">
        <v>230</v>
      </c>
      <c r="K1038" s="12">
        <f t="shared" si="212"/>
        <v>35</v>
      </c>
      <c r="L1038" s="11">
        <f t="shared" si="213"/>
        <v>0</v>
      </c>
      <c r="M1038" s="121"/>
    </row>
    <row r="1039" spans="2:13" ht="20.25" customHeight="1">
      <c r="B1039" s="13"/>
      <c r="C1039" s="112"/>
      <c r="D1039" s="11" t="s">
        <v>969</v>
      </c>
      <c r="E1039" s="12">
        <v>260</v>
      </c>
      <c r="F1039" s="12"/>
      <c r="G1039" s="12">
        <f t="shared" si="211"/>
        <v>0</v>
      </c>
      <c r="H1039" s="12">
        <v>0</v>
      </c>
      <c r="I1039" s="12">
        <f t="shared" si="210"/>
        <v>0</v>
      </c>
      <c r="J1039" s="12">
        <v>225</v>
      </c>
      <c r="K1039" s="12">
        <f t="shared" si="212"/>
        <v>35</v>
      </c>
      <c r="L1039" s="11">
        <f t="shared" si="213"/>
        <v>0</v>
      </c>
      <c r="M1039" s="121"/>
    </row>
    <row r="1040" spans="2:13" ht="20.25" customHeight="1">
      <c r="B1040" s="13"/>
      <c r="C1040" s="112"/>
      <c r="D1040" s="11" t="s">
        <v>970</v>
      </c>
      <c r="E1040" s="12">
        <v>260</v>
      </c>
      <c r="F1040" s="12"/>
      <c r="G1040" s="12">
        <f t="shared" si="211"/>
        <v>0</v>
      </c>
      <c r="H1040" s="12">
        <v>0</v>
      </c>
      <c r="I1040" s="12">
        <f t="shared" si="210"/>
        <v>0</v>
      </c>
      <c r="J1040" s="12">
        <v>225</v>
      </c>
      <c r="K1040" s="12">
        <f t="shared" si="212"/>
        <v>35</v>
      </c>
      <c r="L1040" s="11">
        <f t="shared" si="213"/>
        <v>0</v>
      </c>
      <c r="M1040" s="121"/>
    </row>
    <row r="1041" spans="2:15" ht="20.25" customHeight="1">
      <c r="B1041" s="13"/>
      <c r="C1041" s="112"/>
      <c r="D1041" s="11" t="s">
        <v>971</v>
      </c>
      <c r="E1041" s="12">
        <v>260</v>
      </c>
      <c r="F1041" s="12"/>
      <c r="G1041" s="12">
        <f t="shared" si="211"/>
        <v>0</v>
      </c>
      <c r="H1041" s="12">
        <v>0</v>
      </c>
      <c r="I1041" s="12">
        <f t="shared" si="210"/>
        <v>0</v>
      </c>
      <c r="J1041" s="12">
        <v>225</v>
      </c>
      <c r="K1041" s="12">
        <f t="shared" si="212"/>
        <v>35</v>
      </c>
      <c r="L1041" s="11">
        <f t="shared" si="213"/>
        <v>0</v>
      </c>
      <c r="M1041" s="121"/>
    </row>
    <row r="1042" spans="2:15" ht="20.25" customHeight="1">
      <c r="B1042" s="13"/>
      <c r="C1042" s="112"/>
      <c r="D1042" s="11" t="s">
        <v>972</v>
      </c>
      <c r="E1042" s="12">
        <v>260</v>
      </c>
      <c r="F1042" s="12"/>
      <c r="G1042" s="12">
        <f t="shared" si="211"/>
        <v>0</v>
      </c>
      <c r="H1042" s="12">
        <v>0</v>
      </c>
      <c r="I1042" s="12">
        <f t="shared" si="210"/>
        <v>0</v>
      </c>
      <c r="J1042" s="12">
        <v>220</v>
      </c>
      <c r="K1042" s="12">
        <f t="shared" si="212"/>
        <v>40</v>
      </c>
      <c r="L1042" s="11">
        <f t="shared" si="213"/>
        <v>0</v>
      </c>
      <c r="M1042" s="121"/>
    </row>
    <row r="1043" spans="2:15" ht="20.25" customHeight="1">
      <c r="B1043" s="13"/>
      <c r="C1043" s="112"/>
      <c r="D1043" s="11" t="s">
        <v>973</v>
      </c>
      <c r="E1043" s="12">
        <v>260</v>
      </c>
      <c r="F1043" s="12"/>
      <c r="G1043" s="12">
        <f t="shared" si="211"/>
        <v>0</v>
      </c>
      <c r="H1043" s="12">
        <v>0</v>
      </c>
      <c r="I1043" s="12">
        <f t="shared" si="210"/>
        <v>0</v>
      </c>
      <c r="J1043" s="12">
        <v>220</v>
      </c>
      <c r="K1043" s="12">
        <f t="shared" si="212"/>
        <v>40</v>
      </c>
      <c r="L1043" s="11">
        <f t="shared" si="213"/>
        <v>0</v>
      </c>
      <c r="M1043" s="121"/>
    </row>
    <row r="1044" spans="2:15" ht="20.25" customHeight="1">
      <c r="B1044" s="13"/>
      <c r="C1044" s="112"/>
      <c r="D1044" s="11" t="s">
        <v>974</v>
      </c>
      <c r="E1044" s="12">
        <v>260</v>
      </c>
      <c r="F1044" s="12"/>
      <c r="G1044" s="12">
        <f t="shared" si="211"/>
        <v>0</v>
      </c>
      <c r="H1044" s="12">
        <v>0</v>
      </c>
      <c r="I1044" s="12">
        <f t="shared" si="210"/>
        <v>0</v>
      </c>
      <c r="J1044" s="12">
        <v>220</v>
      </c>
      <c r="K1044" s="12">
        <f t="shared" si="212"/>
        <v>40</v>
      </c>
      <c r="L1044" s="11">
        <f t="shared" si="213"/>
        <v>0</v>
      </c>
      <c r="M1044" s="121"/>
    </row>
    <row r="1045" spans="2:15" ht="20.25" customHeight="1">
      <c r="B1045" s="13"/>
      <c r="C1045" s="112"/>
      <c r="D1045" s="11" t="s">
        <v>975</v>
      </c>
      <c r="E1045" s="12">
        <v>130</v>
      </c>
      <c r="F1045" s="12"/>
      <c r="G1045" s="12">
        <f t="shared" si="211"/>
        <v>0</v>
      </c>
      <c r="H1045" s="12">
        <v>0</v>
      </c>
      <c r="I1045" s="12">
        <f t="shared" si="210"/>
        <v>0</v>
      </c>
      <c r="J1045" s="12">
        <v>110</v>
      </c>
      <c r="K1045" s="12">
        <f t="shared" si="212"/>
        <v>20</v>
      </c>
      <c r="L1045" s="11">
        <f t="shared" si="213"/>
        <v>0</v>
      </c>
      <c r="M1045" s="121"/>
      <c r="N1045" s="2"/>
    </row>
    <row r="1046" spans="2:15" ht="20.25" customHeight="1">
      <c r="B1046" s="13"/>
      <c r="C1046" s="112"/>
      <c r="D1046" s="11" t="s">
        <v>976</v>
      </c>
      <c r="E1046" s="12">
        <v>260</v>
      </c>
      <c r="F1046" s="12"/>
      <c r="G1046" s="12">
        <f t="shared" si="211"/>
        <v>0</v>
      </c>
      <c r="H1046" s="12">
        <v>0</v>
      </c>
      <c r="I1046" s="12">
        <f t="shared" si="210"/>
        <v>0</v>
      </c>
      <c r="J1046" s="12">
        <v>220</v>
      </c>
      <c r="K1046" s="12">
        <f t="shared" si="212"/>
        <v>40</v>
      </c>
      <c r="L1046" s="11">
        <f t="shared" si="213"/>
        <v>0</v>
      </c>
      <c r="M1046" s="121"/>
      <c r="O1046" s="2"/>
    </row>
    <row r="1047" spans="2:15" ht="20.25" customHeight="1">
      <c r="B1047" s="13"/>
      <c r="C1047" s="112"/>
      <c r="D1047" s="125" t="s">
        <v>977</v>
      </c>
      <c r="E1047" s="126">
        <v>320</v>
      </c>
      <c r="F1047" s="126"/>
      <c r="G1047" s="126">
        <f t="shared" si="211"/>
        <v>0</v>
      </c>
      <c r="H1047" s="126">
        <f t="shared" ref="H1047:H1052" si="215">G1047/10</f>
        <v>0</v>
      </c>
      <c r="I1047" s="126">
        <f t="shared" si="210"/>
        <v>0</v>
      </c>
      <c r="J1047" s="126">
        <v>280</v>
      </c>
      <c r="K1047" s="126">
        <f t="shared" si="212"/>
        <v>40</v>
      </c>
      <c r="L1047" s="125">
        <f t="shared" si="213"/>
        <v>0</v>
      </c>
      <c r="M1047" s="127"/>
      <c r="O1047" s="128"/>
    </row>
    <row r="1048" spans="2:15" ht="20.25" customHeight="1">
      <c r="B1048" s="13"/>
      <c r="C1048" s="112"/>
      <c r="D1048" s="124" t="s">
        <v>100</v>
      </c>
      <c r="E1048" s="101">
        <v>35000</v>
      </c>
      <c r="F1048" s="101"/>
      <c r="G1048" s="101">
        <f t="shared" si="211"/>
        <v>0</v>
      </c>
      <c r="H1048" s="101">
        <f t="shared" si="215"/>
        <v>0</v>
      </c>
      <c r="I1048" s="101">
        <f t="shared" si="210"/>
        <v>0</v>
      </c>
      <c r="J1048" s="101">
        <v>35000</v>
      </c>
      <c r="K1048" s="101">
        <f t="shared" si="212"/>
        <v>0</v>
      </c>
      <c r="L1048" s="124">
        <f t="shared" si="213"/>
        <v>0</v>
      </c>
      <c r="M1048" s="121"/>
      <c r="O1048" s="128"/>
    </row>
    <row r="1049" spans="2:15" ht="20.25" customHeight="1">
      <c r="B1049" s="13"/>
      <c r="C1049" s="112"/>
      <c r="D1049" s="124" t="s">
        <v>978</v>
      </c>
      <c r="E1049" s="101">
        <v>270</v>
      </c>
      <c r="F1049" s="101"/>
      <c r="G1049" s="101">
        <f t="shared" si="211"/>
        <v>0</v>
      </c>
      <c r="H1049" s="101">
        <f t="shared" si="215"/>
        <v>0</v>
      </c>
      <c r="I1049" s="101">
        <f t="shared" si="210"/>
        <v>0</v>
      </c>
      <c r="J1049" s="101">
        <v>240</v>
      </c>
      <c r="K1049" s="101">
        <f t="shared" si="212"/>
        <v>30</v>
      </c>
      <c r="L1049" s="124">
        <f t="shared" si="213"/>
        <v>0</v>
      </c>
      <c r="M1049" s="121"/>
    </row>
    <row r="1050" spans="2:15" ht="20.25" customHeight="1">
      <c r="B1050" s="13"/>
      <c r="C1050" s="112"/>
      <c r="D1050" s="124" t="s">
        <v>979</v>
      </c>
      <c r="E1050" s="101">
        <v>1580</v>
      </c>
      <c r="F1050" s="101"/>
      <c r="G1050" s="101">
        <f t="shared" si="211"/>
        <v>0</v>
      </c>
      <c r="H1050" s="101">
        <f t="shared" si="215"/>
        <v>0</v>
      </c>
      <c r="I1050" s="101">
        <f t="shared" si="210"/>
        <v>0</v>
      </c>
      <c r="J1050" s="101">
        <v>1520</v>
      </c>
      <c r="K1050" s="101">
        <f t="shared" si="212"/>
        <v>60</v>
      </c>
      <c r="L1050" s="124">
        <f t="shared" si="213"/>
        <v>0</v>
      </c>
      <c r="M1050" s="121"/>
    </row>
    <row r="1051" spans="2:15" ht="20.25" customHeight="1">
      <c r="B1051" s="13"/>
      <c r="C1051" s="112"/>
      <c r="D1051" s="124" t="s">
        <v>980</v>
      </c>
      <c r="E1051" s="101">
        <v>200000</v>
      </c>
      <c r="F1051" s="101"/>
      <c r="G1051" s="101">
        <f t="shared" si="211"/>
        <v>0</v>
      </c>
      <c r="H1051" s="101">
        <f t="shared" si="215"/>
        <v>0</v>
      </c>
      <c r="I1051" s="101">
        <f t="shared" si="210"/>
        <v>0</v>
      </c>
      <c r="J1051" s="101"/>
      <c r="K1051" s="101">
        <f t="shared" si="212"/>
        <v>200000</v>
      </c>
      <c r="L1051" s="124">
        <f t="shared" si="213"/>
        <v>0</v>
      </c>
      <c r="M1051" s="121" t="s">
        <v>981</v>
      </c>
      <c r="O1051" s="128"/>
    </row>
    <row r="1052" spans="2:15" ht="20.25" customHeight="1">
      <c r="B1052" s="13"/>
      <c r="C1052" s="112"/>
      <c r="D1052" s="124" t="s">
        <v>982</v>
      </c>
      <c r="E1052" s="101">
        <v>0</v>
      </c>
      <c r="F1052" s="101"/>
      <c r="G1052" s="101">
        <f t="shared" si="211"/>
        <v>0</v>
      </c>
      <c r="H1052" s="101">
        <f t="shared" si="215"/>
        <v>0</v>
      </c>
      <c r="I1052" s="101">
        <f t="shared" si="210"/>
        <v>0</v>
      </c>
      <c r="J1052" s="101">
        <v>343800</v>
      </c>
      <c r="K1052" s="101">
        <f t="shared" si="212"/>
        <v>-343800</v>
      </c>
      <c r="L1052" s="124">
        <f t="shared" si="213"/>
        <v>0</v>
      </c>
      <c r="M1052" s="121"/>
    </row>
    <row r="1053" spans="2:15" ht="20.25" customHeight="1">
      <c r="B1053" s="13"/>
      <c r="C1053" s="118"/>
      <c r="D1053" s="124" t="s">
        <v>983</v>
      </c>
      <c r="E1053" s="101">
        <v>350000</v>
      </c>
      <c r="F1053" s="101"/>
      <c r="G1053" s="101">
        <f t="shared" si="211"/>
        <v>0</v>
      </c>
      <c r="H1053" s="101">
        <v>0</v>
      </c>
      <c r="I1053" s="101">
        <f t="shared" si="210"/>
        <v>0</v>
      </c>
      <c r="J1053" s="101">
        <v>300000</v>
      </c>
      <c r="K1053" s="101">
        <f t="shared" si="212"/>
        <v>50000</v>
      </c>
      <c r="L1053" s="124"/>
      <c r="M1053" s="121"/>
    </row>
    <row r="1054" spans="2:15" ht="20.25" customHeight="1">
      <c r="B1054" s="17"/>
      <c r="C1054" s="113"/>
      <c r="D1054" s="113"/>
      <c r="E1054" s="114"/>
      <c r="F1054" s="115"/>
      <c r="G1054" s="115">
        <f>SUM(G1013:G1053)</f>
        <v>0</v>
      </c>
      <c r="H1054" s="115">
        <f>SUM(H1013:H1053)</f>
        <v>0</v>
      </c>
      <c r="I1054" s="129">
        <f t="shared" si="210"/>
        <v>0</v>
      </c>
      <c r="J1054" s="115"/>
      <c r="K1054" s="115"/>
      <c r="L1054" s="115">
        <f>SUM(L1013:L1053)</f>
        <v>0</v>
      </c>
      <c r="M1054" s="130"/>
      <c r="O1054" s="131">
        <f>SUM(O1055:O1068)</f>
        <v>0</v>
      </c>
    </row>
    <row r="1055" spans="2:15" ht="20.25" customHeight="1">
      <c r="B1055" s="9" t="s">
        <v>984</v>
      </c>
      <c r="C1055" s="120" t="s">
        <v>943</v>
      </c>
      <c r="D1055" s="10" t="s">
        <v>985</v>
      </c>
      <c r="E1055" s="132">
        <v>0.215</v>
      </c>
      <c r="F1055" s="12"/>
      <c r="G1055" s="12">
        <f t="shared" ref="G1055:G1113" si="216">E1055*F1055</f>
        <v>0</v>
      </c>
      <c r="H1055" s="12">
        <v>0</v>
      </c>
      <c r="I1055" s="12">
        <f t="shared" si="210"/>
        <v>0</v>
      </c>
      <c r="J1055" s="133">
        <v>0.2</v>
      </c>
      <c r="K1055" s="134">
        <f t="shared" ref="K1055:K1113" si="217">E1055-J1055</f>
        <v>1.4999999999999986E-2</v>
      </c>
      <c r="L1055" s="11">
        <f t="shared" ref="L1055:L1113" si="218">F1055*K1055</f>
        <v>0</v>
      </c>
      <c r="M1055" s="121"/>
      <c r="O1055" s="1">
        <f t="shared" ref="O1055:O1113" si="219">J1055*F1055</f>
        <v>0</v>
      </c>
    </row>
    <row r="1056" spans="2:15" ht="20.25" customHeight="1">
      <c r="B1056" s="13"/>
      <c r="C1056" s="135"/>
      <c r="D1056" s="10" t="s">
        <v>986</v>
      </c>
      <c r="E1056" s="132">
        <v>0.215</v>
      </c>
      <c r="F1056" s="12"/>
      <c r="G1056" s="12">
        <f t="shared" si="216"/>
        <v>0</v>
      </c>
      <c r="H1056" s="12">
        <v>0</v>
      </c>
      <c r="I1056" s="12">
        <f t="shared" si="210"/>
        <v>0</v>
      </c>
      <c r="J1056" s="133">
        <v>0.2</v>
      </c>
      <c r="K1056" s="134">
        <f t="shared" si="217"/>
        <v>1.4999999999999986E-2</v>
      </c>
      <c r="L1056" s="11">
        <f t="shared" si="218"/>
        <v>0</v>
      </c>
      <c r="M1056" s="121"/>
      <c r="O1056" s="1">
        <f t="shared" si="219"/>
        <v>0</v>
      </c>
    </row>
    <row r="1057" spans="2:16" ht="20.25" customHeight="1">
      <c r="B1057" s="13"/>
      <c r="C1057" s="135"/>
      <c r="D1057" s="10" t="s">
        <v>987</v>
      </c>
      <c r="E1057" s="132">
        <v>0.19500000000000001</v>
      </c>
      <c r="F1057" s="12"/>
      <c r="G1057" s="12">
        <f t="shared" si="216"/>
        <v>0</v>
      </c>
      <c r="H1057" s="12">
        <v>0</v>
      </c>
      <c r="I1057" s="12">
        <f t="shared" si="210"/>
        <v>0</v>
      </c>
      <c r="J1057" s="136">
        <v>0.18</v>
      </c>
      <c r="K1057" s="134">
        <f t="shared" si="217"/>
        <v>1.5000000000000013E-2</v>
      </c>
      <c r="L1057" s="11">
        <f t="shared" si="218"/>
        <v>0</v>
      </c>
      <c r="M1057" s="121"/>
      <c r="O1057" s="1">
        <f t="shared" si="219"/>
        <v>0</v>
      </c>
    </row>
    <row r="1058" spans="2:16" ht="20.25" customHeight="1">
      <c r="B1058" s="13"/>
      <c r="C1058" s="135"/>
      <c r="D1058" s="10" t="s">
        <v>988</v>
      </c>
      <c r="E1058" s="132">
        <v>0.215</v>
      </c>
      <c r="F1058" s="12"/>
      <c r="G1058" s="12">
        <f t="shared" si="216"/>
        <v>0</v>
      </c>
      <c r="H1058" s="12">
        <v>0</v>
      </c>
      <c r="I1058" s="12">
        <f t="shared" si="210"/>
        <v>0</v>
      </c>
      <c r="J1058" s="133">
        <v>0.2</v>
      </c>
      <c r="K1058" s="134">
        <f t="shared" si="217"/>
        <v>1.4999999999999986E-2</v>
      </c>
      <c r="L1058" s="11">
        <f t="shared" si="218"/>
        <v>0</v>
      </c>
      <c r="M1058" s="121"/>
      <c r="O1058" s="1">
        <f t="shared" si="219"/>
        <v>0</v>
      </c>
    </row>
    <row r="1059" spans="2:16" ht="20.25" customHeight="1">
      <c r="B1059" s="13"/>
      <c r="C1059" s="135"/>
      <c r="D1059" s="10" t="s">
        <v>989</v>
      </c>
      <c r="E1059" s="132">
        <v>0.22500000000000001</v>
      </c>
      <c r="F1059" s="12"/>
      <c r="G1059" s="12">
        <f t="shared" si="216"/>
        <v>0</v>
      </c>
      <c r="H1059" s="12">
        <v>0</v>
      </c>
      <c r="I1059" s="12">
        <f t="shared" si="210"/>
        <v>0</v>
      </c>
      <c r="J1059" s="136">
        <v>0.21</v>
      </c>
      <c r="K1059" s="134">
        <f t="shared" si="217"/>
        <v>1.5000000000000013E-2</v>
      </c>
      <c r="L1059" s="11">
        <f t="shared" si="218"/>
        <v>0</v>
      </c>
      <c r="M1059" s="121"/>
      <c r="O1059" s="1">
        <f t="shared" si="219"/>
        <v>0</v>
      </c>
    </row>
    <row r="1060" spans="2:16" ht="20.25" customHeight="1">
      <c r="B1060" s="13"/>
      <c r="C1060" s="135"/>
      <c r="D1060" s="10" t="s">
        <v>990</v>
      </c>
      <c r="E1060" s="132">
        <v>0.215</v>
      </c>
      <c r="F1060" s="12"/>
      <c r="G1060" s="12">
        <f t="shared" si="216"/>
        <v>0</v>
      </c>
      <c r="H1060" s="12">
        <v>0</v>
      </c>
      <c r="I1060" s="12">
        <f t="shared" si="210"/>
        <v>0</v>
      </c>
      <c r="J1060" s="133">
        <v>0.2</v>
      </c>
      <c r="K1060" s="134">
        <f t="shared" si="217"/>
        <v>1.4999999999999986E-2</v>
      </c>
      <c r="L1060" s="11">
        <f t="shared" si="218"/>
        <v>0</v>
      </c>
      <c r="M1060" s="121"/>
      <c r="O1060" s="1">
        <f t="shared" si="219"/>
        <v>0</v>
      </c>
    </row>
    <row r="1061" spans="2:16" ht="20.25" customHeight="1">
      <c r="B1061" s="13"/>
      <c r="C1061" s="135"/>
      <c r="D1061" s="10" t="s">
        <v>991</v>
      </c>
      <c r="E1061" s="132">
        <v>0.215</v>
      </c>
      <c r="F1061" s="12"/>
      <c r="G1061" s="12">
        <f t="shared" si="216"/>
        <v>0</v>
      </c>
      <c r="H1061" s="12">
        <v>0</v>
      </c>
      <c r="I1061" s="12">
        <f t="shared" si="210"/>
        <v>0</v>
      </c>
      <c r="J1061" s="133">
        <v>0.2</v>
      </c>
      <c r="K1061" s="134">
        <f t="shared" si="217"/>
        <v>1.4999999999999986E-2</v>
      </c>
      <c r="L1061" s="11">
        <f t="shared" si="218"/>
        <v>0</v>
      </c>
      <c r="M1061" s="121"/>
      <c r="O1061" s="1">
        <f t="shared" si="219"/>
        <v>0</v>
      </c>
    </row>
    <row r="1062" spans="2:16" ht="20.25" customHeight="1">
      <c r="B1062" s="13"/>
      <c r="C1062" s="135"/>
      <c r="D1062" s="10" t="s">
        <v>992</v>
      </c>
      <c r="E1062" s="132">
        <v>0.22500000000000001</v>
      </c>
      <c r="F1062" s="12"/>
      <c r="G1062" s="12">
        <f t="shared" si="216"/>
        <v>0</v>
      </c>
      <c r="H1062" s="12">
        <v>0</v>
      </c>
      <c r="I1062" s="12">
        <f t="shared" si="210"/>
        <v>0</v>
      </c>
      <c r="J1062" s="136">
        <v>0.21</v>
      </c>
      <c r="K1062" s="134">
        <f t="shared" si="217"/>
        <v>1.5000000000000013E-2</v>
      </c>
      <c r="L1062" s="11">
        <f t="shared" si="218"/>
        <v>0</v>
      </c>
      <c r="M1062" s="121"/>
      <c r="O1062" s="1">
        <f t="shared" si="219"/>
        <v>0</v>
      </c>
    </row>
    <row r="1063" spans="2:16" ht="20.25" customHeight="1">
      <c r="B1063" s="13"/>
      <c r="C1063" s="135"/>
      <c r="D1063" s="10" t="s">
        <v>993</v>
      </c>
      <c r="E1063" s="132">
        <v>0.215</v>
      </c>
      <c r="F1063" s="12"/>
      <c r="G1063" s="12">
        <f t="shared" si="216"/>
        <v>0</v>
      </c>
      <c r="H1063" s="12">
        <v>0</v>
      </c>
      <c r="I1063" s="12">
        <f t="shared" si="210"/>
        <v>0</v>
      </c>
      <c r="J1063" s="133">
        <v>0.2</v>
      </c>
      <c r="K1063" s="134">
        <f t="shared" si="217"/>
        <v>1.4999999999999986E-2</v>
      </c>
      <c r="L1063" s="11">
        <f t="shared" si="218"/>
        <v>0</v>
      </c>
      <c r="M1063" s="121"/>
      <c r="O1063" s="1">
        <f t="shared" si="219"/>
        <v>0</v>
      </c>
    </row>
    <row r="1064" spans="2:16" ht="20.25" customHeight="1">
      <c r="B1064" s="13"/>
      <c r="C1064" s="135"/>
      <c r="D1064" s="10" t="s">
        <v>994</v>
      </c>
      <c r="E1064" s="132">
        <v>0.20799999999999999</v>
      </c>
      <c r="F1064" s="12"/>
      <c r="G1064" s="12">
        <f t="shared" si="216"/>
        <v>0</v>
      </c>
      <c r="H1064" s="12">
        <v>0</v>
      </c>
      <c r="I1064" s="12">
        <f t="shared" si="210"/>
        <v>0</v>
      </c>
      <c r="J1064" s="132">
        <v>0.193</v>
      </c>
      <c r="K1064" s="134">
        <f t="shared" si="217"/>
        <v>1.4999999999999986E-2</v>
      </c>
      <c r="L1064" s="11">
        <f t="shared" si="218"/>
        <v>0</v>
      </c>
      <c r="M1064" s="121"/>
      <c r="O1064" s="1">
        <f t="shared" si="219"/>
        <v>0</v>
      </c>
    </row>
    <row r="1065" spans="2:16" ht="20.25" customHeight="1">
      <c r="B1065" s="13"/>
      <c r="C1065" s="135"/>
      <c r="D1065" s="10" t="s">
        <v>995</v>
      </c>
      <c r="E1065" s="132">
        <v>0.20799999999999999</v>
      </c>
      <c r="F1065" s="12"/>
      <c r="G1065" s="12">
        <f t="shared" si="216"/>
        <v>0</v>
      </c>
      <c r="H1065" s="12">
        <v>0</v>
      </c>
      <c r="I1065" s="12">
        <f t="shared" si="210"/>
        <v>0</v>
      </c>
      <c r="J1065" s="132">
        <v>0.193</v>
      </c>
      <c r="K1065" s="134">
        <f t="shared" si="217"/>
        <v>1.4999999999999986E-2</v>
      </c>
      <c r="L1065" s="11">
        <f t="shared" si="218"/>
        <v>0</v>
      </c>
      <c r="M1065" s="121"/>
      <c r="O1065" s="1">
        <f t="shared" si="219"/>
        <v>0</v>
      </c>
    </row>
    <row r="1066" spans="2:16" ht="20.25" customHeight="1">
      <c r="B1066" s="13"/>
      <c r="C1066" s="135"/>
      <c r="D1066" s="10" t="s">
        <v>996</v>
      </c>
      <c r="E1066" s="132">
        <v>0.20799999999999999</v>
      </c>
      <c r="F1066" s="12"/>
      <c r="G1066" s="12">
        <f t="shared" si="216"/>
        <v>0</v>
      </c>
      <c r="H1066" s="12">
        <v>0</v>
      </c>
      <c r="I1066" s="12">
        <f t="shared" si="210"/>
        <v>0</v>
      </c>
      <c r="J1066" s="132">
        <v>0.193</v>
      </c>
      <c r="K1066" s="134">
        <f t="shared" si="217"/>
        <v>1.4999999999999986E-2</v>
      </c>
      <c r="L1066" s="11">
        <f t="shared" si="218"/>
        <v>0</v>
      </c>
      <c r="M1066" s="121"/>
      <c r="O1066" s="1">
        <f t="shared" si="219"/>
        <v>0</v>
      </c>
    </row>
    <row r="1067" spans="2:16" ht="20.25" customHeight="1">
      <c r="B1067" s="13"/>
      <c r="C1067" s="135"/>
      <c r="D1067" s="10" t="s">
        <v>997</v>
      </c>
      <c r="E1067" s="132">
        <v>0.20799999999999999</v>
      </c>
      <c r="F1067" s="12"/>
      <c r="G1067" s="12">
        <f t="shared" si="216"/>
        <v>0</v>
      </c>
      <c r="H1067" s="12">
        <v>0</v>
      </c>
      <c r="I1067" s="12">
        <f t="shared" si="210"/>
        <v>0</v>
      </c>
      <c r="J1067" s="132">
        <v>0.193</v>
      </c>
      <c r="K1067" s="134">
        <f t="shared" si="217"/>
        <v>1.4999999999999986E-2</v>
      </c>
      <c r="L1067" s="11">
        <f t="shared" si="218"/>
        <v>0</v>
      </c>
      <c r="M1067" s="121"/>
      <c r="O1067" s="1">
        <f t="shared" si="219"/>
        <v>0</v>
      </c>
    </row>
    <row r="1068" spans="2:16" ht="20.25" customHeight="1" thickBot="1">
      <c r="B1068" s="13"/>
      <c r="C1068" s="135"/>
      <c r="D1068" s="137" t="s">
        <v>998</v>
      </c>
      <c r="E1068" s="138">
        <v>0.20799999999999999</v>
      </c>
      <c r="F1068" s="139"/>
      <c r="G1068" s="139">
        <f t="shared" si="216"/>
        <v>0</v>
      </c>
      <c r="H1068" s="139">
        <v>0</v>
      </c>
      <c r="I1068" s="139">
        <f t="shared" ref="I1068:I1113" si="220">G1068+H1068</f>
        <v>0</v>
      </c>
      <c r="J1068" s="138">
        <v>0.193</v>
      </c>
      <c r="K1068" s="140">
        <f t="shared" si="217"/>
        <v>1.4999999999999986E-2</v>
      </c>
      <c r="L1068" s="141">
        <f t="shared" si="218"/>
        <v>0</v>
      </c>
      <c r="M1068" s="142"/>
      <c r="O1068" s="143">
        <f t="shared" si="219"/>
        <v>0</v>
      </c>
    </row>
    <row r="1069" spans="2:16" ht="20.25" customHeight="1">
      <c r="B1069" s="13"/>
      <c r="C1069" s="135"/>
      <c r="D1069" s="10" t="s">
        <v>985</v>
      </c>
      <c r="E1069" s="132">
        <v>0.215</v>
      </c>
      <c r="F1069" s="12"/>
      <c r="G1069" s="12">
        <f t="shared" si="216"/>
        <v>0</v>
      </c>
      <c r="H1069" s="12">
        <v>0</v>
      </c>
      <c r="I1069" s="12">
        <f t="shared" si="220"/>
        <v>0</v>
      </c>
      <c r="J1069" s="133">
        <v>0.2</v>
      </c>
      <c r="K1069" s="134">
        <f t="shared" si="217"/>
        <v>1.4999999999999986E-2</v>
      </c>
      <c r="L1069" s="11">
        <f t="shared" si="218"/>
        <v>0</v>
      </c>
      <c r="M1069" s="121"/>
      <c r="O1069" s="1">
        <f t="shared" si="219"/>
        <v>0</v>
      </c>
      <c r="P1069" s="144">
        <f>SUM(O1069:O1082)</f>
        <v>0</v>
      </c>
    </row>
    <row r="1070" spans="2:16" ht="20.25" customHeight="1">
      <c r="B1070" s="13"/>
      <c r="C1070" s="135"/>
      <c r="D1070" s="10" t="s">
        <v>986</v>
      </c>
      <c r="E1070" s="132">
        <v>0.215</v>
      </c>
      <c r="F1070" s="12"/>
      <c r="G1070" s="12">
        <f t="shared" si="216"/>
        <v>0</v>
      </c>
      <c r="H1070" s="12">
        <v>0</v>
      </c>
      <c r="I1070" s="12">
        <f t="shared" si="220"/>
        <v>0</v>
      </c>
      <c r="J1070" s="133">
        <v>0.2</v>
      </c>
      <c r="K1070" s="134">
        <f t="shared" si="217"/>
        <v>1.4999999999999986E-2</v>
      </c>
      <c r="L1070" s="11">
        <f t="shared" si="218"/>
        <v>0</v>
      </c>
      <c r="M1070" s="121"/>
      <c r="O1070" s="1">
        <f t="shared" si="219"/>
        <v>0</v>
      </c>
    </row>
    <row r="1071" spans="2:16" ht="20.25" customHeight="1">
      <c r="B1071" s="13"/>
      <c r="C1071" s="135"/>
      <c r="D1071" s="10" t="s">
        <v>999</v>
      </c>
      <c r="E1071" s="132">
        <v>0.19500000000000001</v>
      </c>
      <c r="F1071" s="12"/>
      <c r="G1071" s="12">
        <f t="shared" si="216"/>
        <v>0</v>
      </c>
      <c r="H1071" s="12">
        <v>0</v>
      </c>
      <c r="I1071" s="12">
        <f t="shared" si="220"/>
        <v>0</v>
      </c>
      <c r="J1071" s="136">
        <v>0.18</v>
      </c>
      <c r="K1071" s="134">
        <f t="shared" si="217"/>
        <v>1.5000000000000013E-2</v>
      </c>
      <c r="L1071" s="11">
        <f t="shared" si="218"/>
        <v>0</v>
      </c>
      <c r="M1071" s="121"/>
      <c r="O1071" s="1">
        <f t="shared" si="219"/>
        <v>0</v>
      </c>
    </row>
    <row r="1072" spans="2:16" ht="20.25" customHeight="1">
      <c r="B1072" s="13"/>
      <c r="C1072" s="135"/>
      <c r="D1072" s="10" t="s">
        <v>1000</v>
      </c>
      <c r="E1072" s="132">
        <v>0.215</v>
      </c>
      <c r="F1072" s="12"/>
      <c r="G1072" s="12">
        <f t="shared" si="216"/>
        <v>0</v>
      </c>
      <c r="H1072" s="12">
        <v>0</v>
      </c>
      <c r="I1072" s="12">
        <f t="shared" si="220"/>
        <v>0</v>
      </c>
      <c r="J1072" s="133">
        <v>0.2</v>
      </c>
      <c r="K1072" s="134">
        <f t="shared" si="217"/>
        <v>1.4999999999999986E-2</v>
      </c>
      <c r="L1072" s="11">
        <f t="shared" si="218"/>
        <v>0</v>
      </c>
      <c r="M1072" s="121"/>
      <c r="O1072" s="1">
        <f t="shared" si="219"/>
        <v>0</v>
      </c>
    </row>
    <row r="1073" spans="2:16" ht="20.25" customHeight="1">
      <c r="B1073" s="13"/>
      <c r="C1073" s="135"/>
      <c r="D1073" s="10" t="s">
        <v>989</v>
      </c>
      <c r="E1073" s="132">
        <v>0.22500000000000001</v>
      </c>
      <c r="F1073" s="12"/>
      <c r="G1073" s="12">
        <f t="shared" si="216"/>
        <v>0</v>
      </c>
      <c r="H1073" s="12">
        <v>0</v>
      </c>
      <c r="I1073" s="12">
        <f t="shared" si="220"/>
        <v>0</v>
      </c>
      <c r="J1073" s="136">
        <v>0.21</v>
      </c>
      <c r="K1073" s="134">
        <f t="shared" si="217"/>
        <v>1.5000000000000013E-2</v>
      </c>
      <c r="L1073" s="11">
        <f t="shared" si="218"/>
        <v>0</v>
      </c>
      <c r="M1073" s="121"/>
      <c r="O1073" s="1">
        <f t="shared" si="219"/>
        <v>0</v>
      </c>
    </row>
    <row r="1074" spans="2:16" ht="20.25" customHeight="1">
      <c r="B1074" s="13"/>
      <c r="C1074" s="135"/>
      <c r="D1074" s="10" t="s">
        <v>1001</v>
      </c>
      <c r="E1074" s="132">
        <v>0.215</v>
      </c>
      <c r="F1074" s="12"/>
      <c r="G1074" s="12">
        <f t="shared" si="216"/>
        <v>0</v>
      </c>
      <c r="H1074" s="12">
        <v>0</v>
      </c>
      <c r="I1074" s="12">
        <f t="shared" si="220"/>
        <v>0</v>
      </c>
      <c r="J1074" s="133">
        <v>0.2</v>
      </c>
      <c r="K1074" s="134">
        <f t="shared" si="217"/>
        <v>1.4999999999999986E-2</v>
      </c>
      <c r="L1074" s="11">
        <f t="shared" si="218"/>
        <v>0</v>
      </c>
      <c r="M1074" s="121"/>
      <c r="O1074" s="1">
        <f t="shared" si="219"/>
        <v>0</v>
      </c>
    </row>
    <row r="1075" spans="2:16" ht="20.25" customHeight="1">
      <c r="B1075" s="13"/>
      <c r="C1075" s="135"/>
      <c r="D1075" s="10" t="s">
        <v>1002</v>
      </c>
      <c r="E1075" s="132">
        <v>0.215</v>
      </c>
      <c r="F1075" s="12"/>
      <c r="G1075" s="12">
        <f t="shared" si="216"/>
        <v>0</v>
      </c>
      <c r="H1075" s="12">
        <v>0</v>
      </c>
      <c r="I1075" s="12">
        <f t="shared" si="220"/>
        <v>0</v>
      </c>
      <c r="J1075" s="133">
        <v>0.2</v>
      </c>
      <c r="K1075" s="134">
        <f t="shared" si="217"/>
        <v>1.4999999999999986E-2</v>
      </c>
      <c r="L1075" s="11">
        <f t="shared" si="218"/>
        <v>0</v>
      </c>
      <c r="M1075" s="121"/>
      <c r="O1075" s="1">
        <f t="shared" si="219"/>
        <v>0</v>
      </c>
    </row>
    <row r="1076" spans="2:16" ht="20.25" customHeight="1">
      <c r="B1076" s="13"/>
      <c r="C1076" s="135"/>
      <c r="D1076" s="10" t="s">
        <v>1003</v>
      </c>
      <c r="E1076" s="132">
        <v>0.223</v>
      </c>
      <c r="F1076" s="12"/>
      <c r="G1076" s="12">
        <f t="shared" si="216"/>
        <v>0</v>
      </c>
      <c r="H1076" s="12">
        <v>0</v>
      </c>
      <c r="I1076" s="12">
        <f t="shared" si="220"/>
        <v>0</v>
      </c>
      <c r="J1076" s="136">
        <v>0.21099999999999999</v>
      </c>
      <c r="K1076" s="134">
        <f t="shared" si="217"/>
        <v>1.2000000000000011E-2</v>
      </c>
      <c r="L1076" s="11">
        <f t="shared" si="218"/>
        <v>0</v>
      </c>
      <c r="M1076" s="121"/>
      <c r="O1076" s="1">
        <f t="shared" si="219"/>
        <v>0</v>
      </c>
    </row>
    <row r="1077" spans="2:16" ht="20.25" customHeight="1">
      <c r="B1077" s="13"/>
      <c r="C1077" s="135"/>
      <c r="D1077" s="10" t="s">
        <v>1004</v>
      </c>
      <c r="E1077" s="132">
        <v>0.215</v>
      </c>
      <c r="F1077" s="12"/>
      <c r="G1077" s="12">
        <f t="shared" si="216"/>
        <v>0</v>
      </c>
      <c r="H1077" s="12">
        <v>0</v>
      </c>
      <c r="I1077" s="12">
        <f t="shared" si="220"/>
        <v>0</v>
      </c>
      <c r="J1077" s="133">
        <v>0.2</v>
      </c>
      <c r="K1077" s="134">
        <f t="shared" si="217"/>
        <v>1.4999999999999986E-2</v>
      </c>
      <c r="L1077" s="11">
        <f t="shared" si="218"/>
        <v>0</v>
      </c>
      <c r="M1077" s="121"/>
      <c r="O1077" s="1">
        <f t="shared" si="219"/>
        <v>0</v>
      </c>
    </row>
    <row r="1078" spans="2:16" ht="20.25" customHeight="1">
      <c r="B1078" s="13"/>
      <c r="C1078" s="135"/>
      <c r="D1078" s="10" t="s">
        <v>994</v>
      </c>
      <c r="E1078" s="132">
        <v>0.20799999999999999</v>
      </c>
      <c r="F1078" s="12"/>
      <c r="G1078" s="12">
        <f t="shared" si="216"/>
        <v>0</v>
      </c>
      <c r="H1078" s="12">
        <v>0</v>
      </c>
      <c r="I1078" s="12">
        <f t="shared" si="220"/>
        <v>0</v>
      </c>
      <c r="J1078" s="132">
        <v>0.193</v>
      </c>
      <c r="K1078" s="134">
        <f t="shared" si="217"/>
        <v>1.4999999999999986E-2</v>
      </c>
      <c r="L1078" s="11">
        <f t="shared" si="218"/>
        <v>0</v>
      </c>
      <c r="M1078" s="121"/>
      <c r="O1078" s="1">
        <f t="shared" si="219"/>
        <v>0</v>
      </c>
    </row>
    <row r="1079" spans="2:16" ht="20.25" customHeight="1">
      <c r="B1079" s="13"/>
      <c r="C1079" s="135"/>
      <c r="D1079" s="10" t="s">
        <v>995</v>
      </c>
      <c r="E1079" s="132">
        <v>0.20799999999999999</v>
      </c>
      <c r="F1079" s="12"/>
      <c r="G1079" s="12">
        <f t="shared" si="216"/>
        <v>0</v>
      </c>
      <c r="H1079" s="12">
        <v>0</v>
      </c>
      <c r="I1079" s="12">
        <f t="shared" si="220"/>
        <v>0</v>
      </c>
      <c r="J1079" s="132">
        <v>0.193</v>
      </c>
      <c r="K1079" s="134">
        <f t="shared" si="217"/>
        <v>1.4999999999999986E-2</v>
      </c>
      <c r="L1079" s="11">
        <f t="shared" si="218"/>
        <v>0</v>
      </c>
      <c r="M1079" s="121"/>
      <c r="O1079" s="1">
        <f t="shared" si="219"/>
        <v>0</v>
      </c>
    </row>
    <row r="1080" spans="2:16" ht="20.25" customHeight="1">
      <c r="B1080" s="13"/>
      <c r="C1080" s="135"/>
      <c r="D1080" s="10" t="s">
        <v>1005</v>
      </c>
      <c r="E1080" s="132">
        <v>0.20799999999999999</v>
      </c>
      <c r="F1080" s="12"/>
      <c r="G1080" s="12">
        <f t="shared" si="216"/>
        <v>0</v>
      </c>
      <c r="H1080" s="12">
        <v>0</v>
      </c>
      <c r="I1080" s="12">
        <f t="shared" si="220"/>
        <v>0</v>
      </c>
      <c r="J1080" s="132">
        <v>0.193</v>
      </c>
      <c r="K1080" s="134">
        <f t="shared" si="217"/>
        <v>1.4999999999999986E-2</v>
      </c>
      <c r="L1080" s="11">
        <f t="shared" si="218"/>
        <v>0</v>
      </c>
      <c r="M1080" s="121"/>
      <c r="O1080" s="1">
        <f t="shared" si="219"/>
        <v>0</v>
      </c>
    </row>
    <row r="1081" spans="2:16" ht="20.25" customHeight="1">
      <c r="B1081" s="13"/>
      <c r="C1081" s="135"/>
      <c r="D1081" s="10" t="s">
        <v>1006</v>
      </c>
      <c r="E1081" s="132">
        <v>0.20799999999999999</v>
      </c>
      <c r="F1081" s="12"/>
      <c r="G1081" s="12">
        <f t="shared" si="216"/>
        <v>0</v>
      </c>
      <c r="H1081" s="12">
        <v>0</v>
      </c>
      <c r="I1081" s="12">
        <f t="shared" si="220"/>
        <v>0</v>
      </c>
      <c r="J1081" s="132">
        <v>0.193</v>
      </c>
      <c r="K1081" s="134">
        <f t="shared" si="217"/>
        <v>1.4999999999999986E-2</v>
      </c>
      <c r="L1081" s="11">
        <f t="shared" si="218"/>
        <v>0</v>
      </c>
      <c r="M1081" s="121"/>
      <c r="O1081" s="1">
        <f t="shared" si="219"/>
        <v>0</v>
      </c>
    </row>
    <row r="1082" spans="2:16" ht="20.25" customHeight="1" thickBot="1">
      <c r="B1082" s="13"/>
      <c r="C1082" s="135"/>
      <c r="D1082" s="137" t="s">
        <v>1007</v>
      </c>
      <c r="E1082" s="138">
        <v>0.20799999999999999</v>
      </c>
      <c r="F1082" s="139"/>
      <c r="G1082" s="139">
        <f t="shared" si="216"/>
        <v>0</v>
      </c>
      <c r="H1082" s="139">
        <v>0</v>
      </c>
      <c r="I1082" s="139">
        <f t="shared" si="220"/>
        <v>0</v>
      </c>
      <c r="J1082" s="138">
        <v>0.193</v>
      </c>
      <c r="K1082" s="140">
        <f t="shared" si="217"/>
        <v>1.4999999999999986E-2</v>
      </c>
      <c r="L1082" s="141">
        <f t="shared" si="218"/>
        <v>0</v>
      </c>
      <c r="M1082" s="142"/>
      <c r="O1082" s="143">
        <f t="shared" si="219"/>
        <v>0</v>
      </c>
    </row>
    <row r="1083" spans="2:16" ht="20.25" customHeight="1">
      <c r="B1083" s="13"/>
      <c r="C1083" s="135"/>
      <c r="D1083" s="10" t="s">
        <v>1008</v>
      </c>
      <c r="E1083" s="132">
        <v>0.215</v>
      </c>
      <c r="F1083" s="12"/>
      <c r="G1083" s="12">
        <f t="shared" si="216"/>
        <v>0</v>
      </c>
      <c r="H1083" s="12">
        <v>0</v>
      </c>
      <c r="I1083" s="12">
        <f t="shared" si="220"/>
        <v>0</v>
      </c>
      <c r="J1083" s="133">
        <v>0.2</v>
      </c>
      <c r="K1083" s="134">
        <f t="shared" si="217"/>
        <v>1.4999999999999986E-2</v>
      </c>
      <c r="L1083" s="11">
        <f t="shared" si="218"/>
        <v>0</v>
      </c>
      <c r="M1083" s="121"/>
      <c r="O1083" s="1">
        <f t="shared" si="219"/>
        <v>0</v>
      </c>
      <c r="P1083" s="131">
        <f>SUM(O1083:O1096)</f>
        <v>0</v>
      </c>
    </row>
    <row r="1084" spans="2:16" ht="20.25" customHeight="1">
      <c r="B1084" s="13"/>
      <c r="C1084" s="135"/>
      <c r="D1084" s="10" t="s">
        <v>986</v>
      </c>
      <c r="E1084" s="132">
        <v>0.215</v>
      </c>
      <c r="F1084" s="12"/>
      <c r="G1084" s="12">
        <f t="shared" si="216"/>
        <v>0</v>
      </c>
      <c r="H1084" s="12">
        <v>0</v>
      </c>
      <c r="I1084" s="12">
        <f t="shared" si="220"/>
        <v>0</v>
      </c>
      <c r="J1084" s="133">
        <v>0.2</v>
      </c>
      <c r="K1084" s="134">
        <f t="shared" si="217"/>
        <v>1.4999999999999986E-2</v>
      </c>
      <c r="L1084" s="11">
        <f t="shared" si="218"/>
        <v>0</v>
      </c>
      <c r="M1084" s="121"/>
      <c r="O1084" s="1">
        <f t="shared" si="219"/>
        <v>0</v>
      </c>
    </row>
    <row r="1085" spans="2:16" ht="20.25" customHeight="1">
      <c r="B1085" s="13"/>
      <c r="C1085" s="135"/>
      <c r="D1085" s="145" t="s">
        <v>1009</v>
      </c>
      <c r="E1085" s="132">
        <v>0.20499999999999999</v>
      </c>
      <c r="F1085" s="12"/>
      <c r="G1085" s="12">
        <f t="shared" si="216"/>
        <v>0</v>
      </c>
      <c r="H1085" s="12">
        <v>0</v>
      </c>
      <c r="I1085" s="12">
        <f t="shared" si="220"/>
        <v>0</v>
      </c>
      <c r="J1085" s="136">
        <v>0.18</v>
      </c>
      <c r="K1085" s="134">
        <f t="shared" si="217"/>
        <v>2.4999999999999994E-2</v>
      </c>
      <c r="L1085" s="11">
        <f t="shared" si="218"/>
        <v>0</v>
      </c>
      <c r="M1085" s="121"/>
      <c r="O1085" s="1">
        <f t="shared" si="219"/>
        <v>0</v>
      </c>
    </row>
    <row r="1086" spans="2:16" ht="20.25" customHeight="1">
      <c r="B1086" s="13"/>
      <c r="C1086" s="135"/>
      <c r="D1086" s="10" t="s">
        <v>1010</v>
      </c>
      <c r="E1086" s="132">
        <v>0.22900000000000001</v>
      </c>
      <c r="F1086" s="12"/>
      <c r="G1086" s="12">
        <f t="shared" si="216"/>
        <v>0</v>
      </c>
      <c r="H1086" s="12">
        <v>0</v>
      </c>
      <c r="I1086" s="76">
        <f t="shared" si="220"/>
        <v>0</v>
      </c>
      <c r="J1086" s="132">
        <v>0.216</v>
      </c>
      <c r="K1086" s="134">
        <f t="shared" si="217"/>
        <v>1.3000000000000012E-2</v>
      </c>
      <c r="L1086" s="11">
        <f t="shared" si="218"/>
        <v>0</v>
      </c>
      <c r="M1086" s="121"/>
      <c r="O1086" s="1">
        <f t="shared" si="219"/>
        <v>0</v>
      </c>
    </row>
    <row r="1087" spans="2:16" ht="20.25" customHeight="1">
      <c r="B1087" s="13"/>
      <c r="C1087" s="135"/>
      <c r="D1087" s="10" t="s">
        <v>1011</v>
      </c>
      <c r="E1087" s="132">
        <v>0.22500000000000001</v>
      </c>
      <c r="F1087" s="12"/>
      <c r="G1087" s="12">
        <f t="shared" si="216"/>
        <v>0</v>
      </c>
      <c r="H1087" s="12">
        <v>0</v>
      </c>
      <c r="I1087" s="12">
        <f t="shared" si="220"/>
        <v>0</v>
      </c>
      <c r="J1087" s="136">
        <v>0.21</v>
      </c>
      <c r="K1087" s="134">
        <f t="shared" si="217"/>
        <v>1.5000000000000013E-2</v>
      </c>
      <c r="L1087" s="11">
        <f t="shared" si="218"/>
        <v>0</v>
      </c>
      <c r="M1087" s="121"/>
      <c r="O1087" s="1">
        <f t="shared" si="219"/>
        <v>0</v>
      </c>
    </row>
    <row r="1088" spans="2:16" ht="20.25" customHeight="1">
      <c r="B1088" s="13"/>
      <c r="C1088" s="135"/>
      <c r="D1088" s="146" t="s">
        <v>1012</v>
      </c>
      <c r="E1088" s="132">
        <v>0.222</v>
      </c>
      <c r="F1088" s="12"/>
      <c r="G1088" s="12">
        <f t="shared" si="216"/>
        <v>0</v>
      </c>
      <c r="H1088" s="12">
        <v>0</v>
      </c>
      <c r="I1088" s="12">
        <f t="shared" si="220"/>
        <v>0</v>
      </c>
      <c r="J1088" s="132">
        <v>0.20899999999999999</v>
      </c>
      <c r="K1088" s="134">
        <f t="shared" si="217"/>
        <v>1.3000000000000012E-2</v>
      </c>
      <c r="L1088" s="11">
        <f t="shared" si="218"/>
        <v>0</v>
      </c>
      <c r="M1088" s="121"/>
      <c r="O1088" s="1">
        <f t="shared" si="219"/>
        <v>0</v>
      </c>
    </row>
    <row r="1089" spans="2:15" ht="20.25" customHeight="1">
      <c r="B1089" s="13"/>
      <c r="C1089" s="135"/>
      <c r="D1089" s="10" t="s">
        <v>1013</v>
      </c>
      <c r="E1089" s="132">
        <v>0.215</v>
      </c>
      <c r="F1089" s="12"/>
      <c r="G1089" s="12">
        <f t="shared" si="216"/>
        <v>0</v>
      </c>
      <c r="H1089" s="12">
        <v>0</v>
      </c>
      <c r="I1089" s="12">
        <f t="shared" si="220"/>
        <v>0</v>
      </c>
      <c r="J1089" s="133">
        <v>0.2</v>
      </c>
      <c r="K1089" s="134">
        <f t="shared" si="217"/>
        <v>1.4999999999999986E-2</v>
      </c>
      <c r="L1089" s="11">
        <f t="shared" si="218"/>
        <v>0</v>
      </c>
      <c r="M1089" s="121"/>
      <c r="O1089" s="1">
        <f t="shared" si="219"/>
        <v>0</v>
      </c>
    </row>
    <row r="1090" spans="2:15" ht="20.25" customHeight="1">
      <c r="B1090" s="13"/>
      <c r="C1090" s="135"/>
      <c r="D1090" s="10" t="s">
        <v>992</v>
      </c>
      <c r="E1090" s="132">
        <v>0.20899999999999999</v>
      </c>
      <c r="F1090" s="12"/>
      <c r="G1090" s="12">
        <f t="shared" si="216"/>
        <v>0</v>
      </c>
      <c r="H1090" s="12">
        <v>0</v>
      </c>
      <c r="I1090" s="12">
        <f t="shared" si="220"/>
        <v>0</v>
      </c>
      <c r="J1090" s="132">
        <v>0.19600000000000001</v>
      </c>
      <c r="K1090" s="134">
        <f t="shared" si="217"/>
        <v>1.2999999999999984E-2</v>
      </c>
      <c r="L1090" s="11">
        <f t="shared" si="218"/>
        <v>0</v>
      </c>
      <c r="M1090" s="121"/>
      <c r="O1090" s="1">
        <f t="shared" si="219"/>
        <v>0</v>
      </c>
    </row>
    <row r="1091" spans="2:15" ht="20.25" customHeight="1">
      <c r="B1091" s="13"/>
      <c r="C1091" s="135"/>
      <c r="D1091" s="145" t="s">
        <v>1014</v>
      </c>
      <c r="E1091" s="132">
        <v>0.222</v>
      </c>
      <c r="F1091" s="12"/>
      <c r="G1091" s="12">
        <f t="shared" si="216"/>
        <v>0</v>
      </c>
      <c r="H1091" s="12">
        <v>0</v>
      </c>
      <c r="I1091" s="12">
        <f t="shared" si="220"/>
        <v>0</v>
      </c>
      <c r="J1091" s="132">
        <v>0.20899999999999999</v>
      </c>
      <c r="K1091" s="134">
        <f t="shared" si="217"/>
        <v>1.3000000000000012E-2</v>
      </c>
      <c r="L1091" s="11">
        <f t="shared" si="218"/>
        <v>0</v>
      </c>
      <c r="M1091" s="121"/>
      <c r="O1091" s="1">
        <f t="shared" si="219"/>
        <v>0</v>
      </c>
    </row>
    <row r="1092" spans="2:15" ht="20.25" customHeight="1">
      <c r="B1092" s="13"/>
      <c r="C1092" s="135"/>
      <c r="D1092" s="10" t="s">
        <v>1015</v>
      </c>
      <c r="E1092" s="132">
        <v>0.215</v>
      </c>
      <c r="F1092" s="12"/>
      <c r="G1092" s="12">
        <f t="shared" si="216"/>
        <v>0</v>
      </c>
      <c r="H1092" s="12">
        <v>0</v>
      </c>
      <c r="I1092" s="12">
        <f t="shared" si="220"/>
        <v>0</v>
      </c>
      <c r="J1092" s="132">
        <v>0.192</v>
      </c>
      <c r="K1092" s="134">
        <f t="shared" si="217"/>
        <v>2.2999999999999993E-2</v>
      </c>
      <c r="L1092" s="11">
        <f t="shared" si="218"/>
        <v>0</v>
      </c>
      <c r="M1092" s="121"/>
      <c r="O1092" s="1">
        <f t="shared" si="219"/>
        <v>0</v>
      </c>
    </row>
    <row r="1093" spans="2:15" ht="20.25" customHeight="1">
      <c r="B1093" s="13"/>
      <c r="C1093" s="135"/>
      <c r="D1093" s="10" t="s">
        <v>1016</v>
      </c>
      <c r="E1093" s="132">
        <v>0.20599999999999999</v>
      </c>
      <c r="F1093" s="12"/>
      <c r="G1093" s="12">
        <f t="shared" si="216"/>
        <v>0</v>
      </c>
      <c r="H1093" s="12">
        <v>0</v>
      </c>
      <c r="I1093" s="12">
        <f t="shared" si="220"/>
        <v>0</v>
      </c>
      <c r="J1093" s="132">
        <v>0.184</v>
      </c>
      <c r="K1093" s="134">
        <f t="shared" si="217"/>
        <v>2.1999999999999992E-2</v>
      </c>
      <c r="L1093" s="11">
        <f t="shared" si="218"/>
        <v>0</v>
      </c>
      <c r="M1093" s="121"/>
      <c r="O1093" s="1">
        <f t="shared" si="219"/>
        <v>0</v>
      </c>
    </row>
    <row r="1094" spans="2:15" ht="20.25" customHeight="1">
      <c r="B1094" s="13"/>
      <c r="C1094" s="135"/>
      <c r="D1094" s="10" t="s">
        <v>1005</v>
      </c>
      <c r="E1094" s="132">
        <v>0.222</v>
      </c>
      <c r="F1094" s="12"/>
      <c r="G1094" s="12">
        <f t="shared" si="216"/>
        <v>0</v>
      </c>
      <c r="H1094" s="12">
        <v>0</v>
      </c>
      <c r="I1094" s="12">
        <f t="shared" si="220"/>
        <v>0</v>
      </c>
      <c r="J1094" s="132">
        <v>0.19900000000000001</v>
      </c>
      <c r="K1094" s="134">
        <f t="shared" si="217"/>
        <v>2.2999999999999993E-2</v>
      </c>
      <c r="L1094" s="11">
        <f t="shared" si="218"/>
        <v>0</v>
      </c>
      <c r="M1094" s="121"/>
      <c r="O1094" s="1">
        <f t="shared" si="219"/>
        <v>0</v>
      </c>
    </row>
    <row r="1095" spans="2:15" ht="20.25" customHeight="1">
      <c r="B1095" s="13"/>
      <c r="C1095" s="135"/>
      <c r="D1095" s="10" t="s">
        <v>1017</v>
      </c>
      <c r="E1095" s="132">
        <v>0.215</v>
      </c>
      <c r="F1095" s="12"/>
      <c r="G1095" s="12">
        <f t="shared" si="216"/>
        <v>0</v>
      </c>
      <c r="H1095" s="12">
        <v>0</v>
      </c>
      <c r="I1095" s="12">
        <f t="shared" si="220"/>
        <v>0</v>
      </c>
      <c r="J1095" s="132">
        <v>0.192</v>
      </c>
      <c r="K1095" s="134">
        <f t="shared" si="217"/>
        <v>2.2999999999999993E-2</v>
      </c>
      <c r="L1095" s="11">
        <f t="shared" si="218"/>
        <v>0</v>
      </c>
      <c r="M1095" s="121"/>
      <c r="O1095" s="1">
        <f t="shared" si="219"/>
        <v>0</v>
      </c>
    </row>
    <row r="1096" spans="2:15" ht="20.25" customHeight="1" thickBot="1">
      <c r="B1096" s="13"/>
      <c r="C1096" s="135"/>
      <c r="D1096" s="137" t="s">
        <v>1007</v>
      </c>
      <c r="E1096" s="138">
        <v>0.215</v>
      </c>
      <c r="F1096" s="139"/>
      <c r="G1096" s="139">
        <f t="shared" si="216"/>
        <v>0</v>
      </c>
      <c r="H1096" s="139">
        <v>0</v>
      </c>
      <c r="I1096" s="139">
        <f t="shared" si="220"/>
        <v>0</v>
      </c>
      <c r="J1096" s="138">
        <v>0.192</v>
      </c>
      <c r="K1096" s="140">
        <f t="shared" si="217"/>
        <v>2.2999999999999993E-2</v>
      </c>
      <c r="L1096" s="141">
        <f t="shared" si="218"/>
        <v>0</v>
      </c>
      <c r="M1096" s="142"/>
      <c r="O1096" s="143">
        <f t="shared" si="219"/>
        <v>0</v>
      </c>
    </row>
    <row r="1097" spans="2:15" ht="20.25" customHeight="1">
      <c r="B1097" s="13"/>
      <c r="C1097" s="135"/>
      <c r="D1097" s="147" t="s">
        <v>1018</v>
      </c>
      <c r="E1097" s="148">
        <v>0.32500000000000001</v>
      </c>
      <c r="F1097" s="149"/>
      <c r="G1097" s="149">
        <f t="shared" si="216"/>
        <v>0</v>
      </c>
      <c r="H1097" s="149">
        <v>0</v>
      </c>
      <c r="I1097" s="149">
        <f t="shared" si="220"/>
        <v>0</v>
      </c>
      <c r="J1097" s="148">
        <v>0.29399999999999998</v>
      </c>
      <c r="K1097" s="150">
        <f t="shared" si="217"/>
        <v>3.1000000000000028E-2</v>
      </c>
      <c r="L1097" s="34">
        <f t="shared" si="218"/>
        <v>0</v>
      </c>
      <c r="M1097" s="151"/>
      <c r="O1097" s="1">
        <f t="shared" si="219"/>
        <v>0</v>
      </c>
    </row>
    <row r="1098" spans="2:15" ht="20.25" customHeight="1">
      <c r="B1098" s="13"/>
      <c r="C1098" s="135"/>
      <c r="D1098" s="147" t="s">
        <v>1019</v>
      </c>
      <c r="E1098" s="148">
        <v>0.32500000000000001</v>
      </c>
      <c r="F1098" s="149"/>
      <c r="G1098" s="149">
        <f t="shared" si="216"/>
        <v>0</v>
      </c>
      <c r="H1098" s="149">
        <v>0</v>
      </c>
      <c r="I1098" s="149">
        <f t="shared" si="220"/>
        <v>0</v>
      </c>
      <c r="J1098" s="148">
        <v>0.29399999999999998</v>
      </c>
      <c r="K1098" s="150">
        <f t="shared" si="217"/>
        <v>3.1000000000000028E-2</v>
      </c>
      <c r="L1098" s="34">
        <f t="shared" si="218"/>
        <v>0</v>
      </c>
      <c r="M1098" s="151"/>
      <c r="O1098" s="1">
        <f t="shared" si="219"/>
        <v>0</v>
      </c>
    </row>
    <row r="1099" spans="2:15" ht="20.25" customHeight="1">
      <c r="B1099" s="13"/>
      <c r="C1099" s="135"/>
      <c r="D1099" s="147" t="s">
        <v>1020</v>
      </c>
      <c r="E1099" s="148">
        <v>0.316</v>
      </c>
      <c r="F1099" s="149"/>
      <c r="G1099" s="149">
        <f t="shared" si="216"/>
        <v>0</v>
      </c>
      <c r="H1099" s="149">
        <v>0</v>
      </c>
      <c r="I1099" s="149">
        <f t="shared" si="220"/>
        <v>0</v>
      </c>
      <c r="J1099" s="152">
        <v>0.28599999999999998</v>
      </c>
      <c r="K1099" s="150">
        <f t="shared" si="217"/>
        <v>3.0000000000000027E-2</v>
      </c>
      <c r="L1099" s="34">
        <f t="shared" si="218"/>
        <v>0</v>
      </c>
      <c r="M1099" s="151"/>
      <c r="O1099" s="1">
        <f t="shared" si="219"/>
        <v>0</v>
      </c>
    </row>
    <row r="1100" spans="2:15" ht="20.25" customHeight="1">
      <c r="B1100" s="13"/>
      <c r="C1100" s="135"/>
      <c r="D1100" s="147" t="s">
        <v>1008</v>
      </c>
      <c r="E1100" s="148">
        <v>0.215</v>
      </c>
      <c r="F1100" s="149"/>
      <c r="G1100" s="149">
        <f t="shared" si="216"/>
        <v>0</v>
      </c>
      <c r="H1100" s="149">
        <v>0</v>
      </c>
      <c r="I1100" s="149">
        <f t="shared" si="220"/>
        <v>0</v>
      </c>
      <c r="J1100" s="152">
        <v>0.2</v>
      </c>
      <c r="K1100" s="150">
        <f t="shared" si="217"/>
        <v>1.4999999999999986E-2</v>
      </c>
      <c r="L1100" s="34">
        <f t="shared" si="218"/>
        <v>0</v>
      </c>
      <c r="M1100" s="151"/>
      <c r="O1100" s="1">
        <f t="shared" si="219"/>
        <v>0</v>
      </c>
    </row>
    <row r="1101" spans="2:15" ht="20.25" customHeight="1">
      <c r="B1101" s="13"/>
      <c r="C1101" s="135"/>
      <c r="D1101" s="147" t="s">
        <v>1021</v>
      </c>
      <c r="E1101" s="148">
        <v>0.215</v>
      </c>
      <c r="F1101" s="149"/>
      <c r="G1101" s="149">
        <f t="shared" si="216"/>
        <v>0</v>
      </c>
      <c r="H1101" s="149">
        <v>0</v>
      </c>
      <c r="I1101" s="149">
        <f t="shared" si="220"/>
        <v>0</v>
      </c>
      <c r="J1101" s="152">
        <v>0.2</v>
      </c>
      <c r="K1101" s="150">
        <f t="shared" si="217"/>
        <v>1.4999999999999986E-2</v>
      </c>
      <c r="L1101" s="34">
        <f t="shared" si="218"/>
        <v>0</v>
      </c>
      <c r="M1101" s="151"/>
      <c r="O1101" s="1">
        <f t="shared" si="219"/>
        <v>0</v>
      </c>
    </row>
    <row r="1102" spans="2:15" ht="20.25" customHeight="1">
      <c r="B1102" s="13"/>
      <c r="C1102" s="135"/>
      <c r="D1102" s="153" t="s">
        <v>1022</v>
      </c>
      <c r="E1102" s="154">
        <v>0.20300000000000001</v>
      </c>
      <c r="F1102" s="155"/>
      <c r="G1102" s="155">
        <f t="shared" si="216"/>
        <v>0</v>
      </c>
      <c r="H1102" s="155">
        <v>0</v>
      </c>
      <c r="I1102" s="155">
        <f t="shared" si="220"/>
        <v>0</v>
      </c>
      <c r="J1102" s="154">
        <v>0.192</v>
      </c>
      <c r="K1102" s="156">
        <f t="shared" si="217"/>
        <v>1.100000000000001E-2</v>
      </c>
      <c r="L1102" s="157">
        <f t="shared" si="218"/>
        <v>0</v>
      </c>
      <c r="M1102" s="158"/>
      <c r="O1102" s="1">
        <f t="shared" si="219"/>
        <v>0</v>
      </c>
    </row>
    <row r="1103" spans="2:15" ht="20.25" customHeight="1">
      <c r="B1103" s="13"/>
      <c r="C1103" s="135"/>
      <c r="D1103" s="147" t="s">
        <v>1023</v>
      </c>
      <c r="E1103" s="148">
        <v>0.224</v>
      </c>
      <c r="F1103" s="149"/>
      <c r="G1103" s="149">
        <f t="shared" si="216"/>
        <v>0</v>
      </c>
      <c r="H1103" s="149">
        <v>0</v>
      </c>
      <c r="I1103" s="149">
        <f t="shared" si="220"/>
        <v>0</v>
      </c>
      <c r="J1103" s="148">
        <v>0.21199999999999999</v>
      </c>
      <c r="K1103" s="150">
        <f t="shared" si="217"/>
        <v>1.2000000000000011E-2</v>
      </c>
      <c r="L1103" s="34">
        <f t="shared" si="218"/>
        <v>0</v>
      </c>
      <c r="M1103" s="151"/>
      <c r="O1103" s="1">
        <f t="shared" si="219"/>
        <v>0</v>
      </c>
    </row>
    <row r="1104" spans="2:15" ht="33" customHeight="1">
      <c r="B1104" s="13"/>
      <c r="C1104" s="135"/>
      <c r="D1104" s="159" t="s">
        <v>1024</v>
      </c>
      <c r="E1104" s="148">
        <v>0.20300000000000001</v>
      </c>
      <c r="F1104" s="149"/>
      <c r="G1104" s="149">
        <f t="shared" si="216"/>
        <v>0</v>
      </c>
      <c r="H1104" s="149">
        <v>0</v>
      </c>
      <c r="I1104" s="149">
        <f t="shared" si="220"/>
        <v>0</v>
      </c>
      <c r="J1104" s="148">
        <v>0.192</v>
      </c>
      <c r="K1104" s="150">
        <f t="shared" si="217"/>
        <v>1.100000000000001E-2</v>
      </c>
      <c r="L1104" s="34">
        <f t="shared" si="218"/>
        <v>0</v>
      </c>
      <c r="M1104" s="151"/>
      <c r="O1104" s="1">
        <f t="shared" si="219"/>
        <v>0</v>
      </c>
    </row>
    <row r="1105" spans="2:15" ht="20.25" customHeight="1">
      <c r="B1105" s="13"/>
      <c r="C1105" s="135"/>
      <c r="D1105" s="147" t="s">
        <v>1025</v>
      </c>
      <c r="E1105" s="148">
        <v>0.19700000000000001</v>
      </c>
      <c r="F1105" s="149"/>
      <c r="G1105" s="149">
        <f t="shared" si="216"/>
        <v>0</v>
      </c>
      <c r="H1105" s="149">
        <v>0</v>
      </c>
      <c r="I1105" s="149">
        <f t="shared" si="220"/>
        <v>0</v>
      </c>
      <c r="J1105" s="148">
        <v>0.17599999999999999</v>
      </c>
      <c r="K1105" s="150">
        <f t="shared" si="217"/>
        <v>2.1000000000000019E-2</v>
      </c>
      <c r="L1105" s="34">
        <f t="shared" si="218"/>
        <v>0</v>
      </c>
      <c r="M1105" s="151"/>
      <c r="O1105" s="1">
        <f t="shared" si="219"/>
        <v>0</v>
      </c>
    </row>
    <row r="1106" spans="2:15" ht="20.25" customHeight="1">
      <c r="B1106" s="13"/>
      <c r="C1106" s="135"/>
      <c r="D1106" s="147" t="s">
        <v>1026</v>
      </c>
      <c r="E1106" s="148">
        <v>0.19700000000000001</v>
      </c>
      <c r="F1106" s="149"/>
      <c r="G1106" s="160">
        <f t="shared" si="216"/>
        <v>0</v>
      </c>
      <c r="H1106" s="149">
        <v>0</v>
      </c>
      <c r="I1106" s="149">
        <f t="shared" si="220"/>
        <v>0</v>
      </c>
      <c r="J1106" s="148">
        <v>0.17599999999999999</v>
      </c>
      <c r="K1106" s="150">
        <f t="shared" si="217"/>
        <v>2.1000000000000019E-2</v>
      </c>
      <c r="L1106" s="34">
        <f t="shared" si="218"/>
        <v>0</v>
      </c>
      <c r="M1106" s="151"/>
      <c r="O1106" s="1">
        <f t="shared" si="219"/>
        <v>0</v>
      </c>
    </row>
    <row r="1107" spans="2:15" ht="20.25" customHeight="1">
      <c r="B1107" s="13"/>
      <c r="C1107" s="135"/>
      <c r="D1107" s="147" t="s">
        <v>1027</v>
      </c>
      <c r="E1107" s="148">
        <v>0.20699999999999999</v>
      </c>
      <c r="F1107" s="149"/>
      <c r="G1107" s="149">
        <f t="shared" si="216"/>
        <v>0</v>
      </c>
      <c r="H1107" s="149">
        <v>0</v>
      </c>
      <c r="I1107" s="149">
        <f t="shared" si="220"/>
        <v>0</v>
      </c>
      <c r="J1107" s="148">
        <v>0.185</v>
      </c>
      <c r="K1107" s="150">
        <f t="shared" si="217"/>
        <v>2.1999999999999992E-2</v>
      </c>
      <c r="L1107" s="34">
        <f t="shared" si="218"/>
        <v>0</v>
      </c>
      <c r="M1107" s="151"/>
      <c r="O1107" s="1">
        <f t="shared" si="219"/>
        <v>0</v>
      </c>
    </row>
    <row r="1108" spans="2:15" ht="20.25" customHeight="1">
      <c r="B1108" s="13"/>
      <c r="C1108" s="135"/>
      <c r="D1108" s="159" t="s">
        <v>1028</v>
      </c>
      <c r="E1108" s="148">
        <v>0.188</v>
      </c>
      <c r="F1108" s="149"/>
      <c r="G1108" s="149">
        <f t="shared" si="216"/>
        <v>0</v>
      </c>
      <c r="H1108" s="149">
        <v>0</v>
      </c>
      <c r="I1108" s="149">
        <f t="shared" si="220"/>
        <v>0</v>
      </c>
      <c r="J1108" s="148">
        <v>0.16600000000000001</v>
      </c>
      <c r="K1108" s="150">
        <f t="shared" si="217"/>
        <v>2.1999999999999992E-2</v>
      </c>
      <c r="L1108" s="34">
        <f t="shared" si="218"/>
        <v>0</v>
      </c>
      <c r="M1108" s="151"/>
      <c r="O1108" s="1">
        <f t="shared" si="219"/>
        <v>0</v>
      </c>
    </row>
    <row r="1109" spans="2:15" ht="26.25" customHeight="1">
      <c r="B1109" s="13"/>
      <c r="C1109" s="135"/>
      <c r="D1109" s="147" t="s">
        <v>1029</v>
      </c>
      <c r="E1109" s="148">
        <v>0.20699999999999999</v>
      </c>
      <c r="F1109" s="149"/>
      <c r="G1109" s="149">
        <f t="shared" si="216"/>
        <v>0</v>
      </c>
      <c r="H1109" s="149">
        <v>0</v>
      </c>
      <c r="I1109" s="149">
        <f t="shared" si="220"/>
        <v>0</v>
      </c>
      <c r="J1109" s="148">
        <v>0.185</v>
      </c>
      <c r="K1109" s="150">
        <f t="shared" si="217"/>
        <v>2.1999999999999992E-2</v>
      </c>
      <c r="L1109" s="34">
        <f t="shared" si="218"/>
        <v>0</v>
      </c>
      <c r="M1109" s="151"/>
      <c r="O1109" s="1">
        <f t="shared" si="219"/>
        <v>0</v>
      </c>
    </row>
    <row r="1110" spans="2:15" ht="20.25" customHeight="1">
      <c r="B1110" s="13"/>
      <c r="C1110" s="135"/>
      <c r="D1110" s="161" t="s">
        <v>1030</v>
      </c>
      <c r="E1110" s="162">
        <v>0.20300000000000001</v>
      </c>
      <c r="F1110" s="163"/>
      <c r="G1110" s="164">
        <f t="shared" si="216"/>
        <v>0</v>
      </c>
      <c r="H1110" s="163">
        <v>0</v>
      </c>
      <c r="I1110" s="163">
        <f t="shared" si="220"/>
        <v>0</v>
      </c>
      <c r="J1110" s="162">
        <v>0.192</v>
      </c>
      <c r="K1110" s="165">
        <f t="shared" si="217"/>
        <v>1.100000000000001E-2</v>
      </c>
      <c r="L1110" s="166">
        <f t="shared" si="218"/>
        <v>0</v>
      </c>
      <c r="M1110" s="151"/>
      <c r="O1110" s="1">
        <f t="shared" si="219"/>
        <v>0</v>
      </c>
    </row>
    <row r="1111" spans="2:15" ht="20.25" customHeight="1">
      <c r="B1111" s="13"/>
      <c r="C1111" s="135"/>
      <c r="D1111" s="161" t="s">
        <v>989</v>
      </c>
      <c r="E1111" s="162">
        <v>0.22500000000000001</v>
      </c>
      <c r="F1111" s="163"/>
      <c r="G1111" s="163">
        <f t="shared" si="216"/>
        <v>0</v>
      </c>
      <c r="H1111" s="163">
        <v>0</v>
      </c>
      <c r="I1111" s="163">
        <f t="shared" si="220"/>
        <v>0</v>
      </c>
      <c r="J1111" s="167">
        <v>0.21</v>
      </c>
      <c r="K1111" s="165">
        <f t="shared" si="217"/>
        <v>1.5000000000000013E-2</v>
      </c>
      <c r="L1111" s="166">
        <f t="shared" si="218"/>
        <v>0</v>
      </c>
      <c r="M1111" s="151"/>
      <c r="O1111" s="1">
        <f t="shared" si="219"/>
        <v>0</v>
      </c>
    </row>
    <row r="1112" spans="2:15" ht="32.25" customHeight="1">
      <c r="B1112" s="13"/>
      <c r="C1112" s="135"/>
      <c r="D1112" s="161" t="s">
        <v>1031</v>
      </c>
      <c r="E1112" s="162">
        <v>0.20300000000000001</v>
      </c>
      <c r="F1112" s="163"/>
      <c r="G1112" s="163">
        <f t="shared" si="216"/>
        <v>0</v>
      </c>
      <c r="H1112" s="163">
        <v>0</v>
      </c>
      <c r="I1112" s="163">
        <f t="shared" si="220"/>
        <v>0</v>
      </c>
      <c r="J1112" s="162">
        <v>0.192</v>
      </c>
      <c r="K1112" s="165">
        <f t="shared" si="217"/>
        <v>1.100000000000001E-2</v>
      </c>
      <c r="L1112" s="166">
        <f t="shared" si="218"/>
        <v>0</v>
      </c>
      <c r="M1112" s="151"/>
      <c r="O1112" s="1">
        <f t="shared" si="219"/>
        <v>0</v>
      </c>
    </row>
    <row r="1113" spans="2:15" ht="20.25" customHeight="1">
      <c r="B1113" s="13"/>
      <c r="C1113" s="135"/>
      <c r="D1113" s="168" t="s">
        <v>1032</v>
      </c>
      <c r="E1113" s="169">
        <v>0.20699999999999999</v>
      </c>
      <c r="F1113" s="170"/>
      <c r="G1113" s="170">
        <f t="shared" si="216"/>
        <v>0</v>
      </c>
      <c r="H1113" s="170">
        <v>0</v>
      </c>
      <c r="I1113" s="170">
        <f t="shared" si="220"/>
        <v>0</v>
      </c>
      <c r="J1113" s="169">
        <v>0.185</v>
      </c>
      <c r="K1113" s="171">
        <f t="shared" si="217"/>
        <v>2.1999999999999992E-2</v>
      </c>
      <c r="L1113" s="172">
        <f t="shared" si="218"/>
        <v>0</v>
      </c>
      <c r="M1113" s="173"/>
      <c r="O1113" s="1">
        <f t="shared" si="219"/>
        <v>0</v>
      </c>
    </row>
    <row r="1114" spans="2:15" ht="20.25" customHeight="1">
      <c r="B1114" s="13"/>
      <c r="C1114" s="135"/>
      <c r="D1114" s="174"/>
      <c r="E1114" s="119"/>
      <c r="F1114" s="175">
        <f>SUM(F1055:F1113)</f>
        <v>0</v>
      </c>
      <c r="G1114" s="176">
        <f>SUM(G1055:G1113)</f>
        <v>0</v>
      </c>
      <c r="H1114" s="175">
        <f>SUM(H1085:H1113)</f>
        <v>0</v>
      </c>
      <c r="I1114" s="176">
        <f>SUM(I1055:I1113)</f>
        <v>0</v>
      </c>
      <c r="J1114" s="177"/>
      <c r="K1114" s="178"/>
      <c r="L1114" s="179"/>
      <c r="M1114" s="180"/>
      <c r="O1114" s="181">
        <f>SUM(O1097:O1113)</f>
        <v>0</v>
      </c>
    </row>
    <row r="1115" spans="2:15" ht="29.25" customHeight="1">
      <c r="B1115" s="13"/>
      <c r="C1115" s="135"/>
      <c r="D1115" s="182" t="s">
        <v>1033</v>
      </c>
      <c r="E1115" s="183"/>
      <c r="F1115" s="183"/>
      <c r="G1115" s="183"/>
      <c r="H1115" s="183"/>
      <c r="I1115" s="183"/>
      <c r="J1115" s="183"/>
      <c r="K1115" s="183"/>
      <c r="L1115" s="183"/>
      <c r="M1115" s="183"/>
    </row>
    <row r="1116" spans="2:15" ht="21" customHeight="1">
      <c r="B1116" s="13"/>
      <c r="C1116" s="135"/>
      <c r="D1116" s="10" t="s">
        <v>985</v>
      </c>
      <c r="E1116" s="11">
        <v>307</v>
      </c>
      <c r="F1116" s="72"/>
      <c r="G1116" s="72">
        <f t="shared" ref="G1116:G1174" si="221">E1116*F1116</f>
        <v>0</v>
      </c>
      <c r="H1116" s="72">
        <v>0</v>
      </c>
      <c r="I1116" s="72">
        <f t="shared" ref="I1116:I1174" si="222">G1116+H1116</f>
        <v>0</v>
      </c>
      <c r="J1116" s="72">
        <v>265</v>
      </c>
      <c r="K1116" s="72">
        <f t="shared" ref="K1116:K1174" si="223">E1116-J1116</f>
        <v>42</v>
      </c>
      <c r="L1116" s="72">
        <f t="shared" ref="L1116:L1174" si="224">F1116*K1116</f>
        <v>0</v>
      </c>
      <c r="M1116" s="11"/>
    </row>
    <row r="1117" spans="2:15" ht="21" customHeight="1">
      <c r="B1117" s="13"/>
      <c r="C1117" s="135"/>
      <c r="D1117" s="10" t="s">
        <v>1034</v>
      </c>
      <c r="E1117" s="11">
        <v>272</v>
      </c>
      <c r="F1117" s="72"/>
      <c r="G1117" s="72">
        <f t="shared" si="221"/>
        <v>0</v>
      </c>
      <c r="H1117" s="72">
        <v>0</v>
      </c>
      <c r="I1117" s="72">
        <f t="shared" si="222"/>
        <v>0</v>
      </c>
      <c r="J1117" s="72">
        <v>265</v>
      </c>
      <c r="K1117" s="72">
        <f t="shared" si="223"/>
        <v>7</v>
      </c>
      <c r="L1117" s="72">
        <f t="shared" si="224"/>
        <v>0</v>
      </c>
      <c r="M1117" s="11"/>
    </row>
    <row r="1118" spans="2:15" ht="20.25" customHeight="1">
      <c r="B1118" s="13"/>
      <c r="C1118" s="135"/>
      <c r="D1118" s="10" t="s">
        <v>1035</v>
      </c>
      <c r="E1118" s="11">
        <v>286</v>
      </c>
      <c r="F1118" s="72"/>
      <c r="G1118" s="72">
        <f t="shared" si="221"/>
        <v>0</v>
      </c>
      <c r="H1118" s="72">
        <v>0</v>
      </c>
      <c r="I1118" s="72">
        <f t="shared" si="222"/>
        <v>0</v>
      </c>
      <c r="J1118" s="72">
        <v>245</v>
      </c>
      <c r="K1118" s="72">
        <f t="shared" si="223"/>
        <v>41</v>
      </c>
      <c r="L1118" s="72">
        <f t="shared" si="224"/>
        <v>0</v>
      </c>
      <c r="M1118" s="11"/>
    </row>
    <row r="1119" spans="2:15" ht="20.25" customHeight="1">
      <c r="B1119" s="13"/>
      <c r="C1119" s="135"/>
      <c r="D1119" s="10" t="s">
        <v>1036</v>
      </c>
      <c r="E1119" s="11">
        <v>307</v>
      </c>
      <c r="F1119" s="72"/>
      <c r="G1119" s="72">
        <f t="shared" si="221"/>
        <v>0</v>
      </c>
      <c r="H1119" s="72">
        <v>0</v>
      </c>
      <c r="I1119" s="72">
        <f t="shared" si="222"/>
        <v>0</v>
      </c>
      <c r="J1119" s="72">
        <v>265</v>
      </c>
      <c r="K1119" s="72">
        <f t="shared" si="223"/>
        <v>42</v>
      </c>
      <c r="L1119" s="72">
        <f t="shared" si="224"/>
        <v>0</v>
      </c>
      <c r="M1119" s="11"/>
    </row>
    <row r="1120" spans="2:15" ht="20.25" customHeight="1">
      <c r="B1120" s="13"/>
      <c r="C1120" s="135"/>
      <c r="D1120" s="10" t="s">
        <v>1011</v>
      </c>
      <c r="E1120" s="11">
        <v>319</v>
      </c>
      <c r="F1120" s="72"/>
      <c r="G1120" s="72">
        <f t="shared" si="221"/>
        <v>0</v>
      </c>
      <c r="H1120" s="72">
        <v>0</v>
      </c>
      <c r="I1120" s="72">
        <f t="shared" si="222"/>
        <v>0</v>
      </c>
      <c r="J1120" s="72">
        <v>298</v>
      </c>
      <c r="K1120" s="72">
        <f t="shared" si="223"/>
        <v>21</v>
      </c>
      <c r="L1120" s="72">
        <f t="shared" si="224"/>
        <v>0</v>
      </c>
      <c r="M1120" s="11"/>
    </row>
    <row r="1121" spans="2:15" ht="20.25" customHeight="1">
      <c r="B1121" s="13"/>
      <c r="C1121" s="135"/>
      <c r="D1121" s="10" t="s">
        <v>1037</v>
      </c>
      <c r="E1121" s="11">
        <v>305</v>
      </c>
      <c r="F1121" s="72"/>
      <c r="G1121" s="72">
        <f t="shared" si="221"/>
        <v>0</v>
      </c>
      <c r="H1121" s="72">
        <v>0</v>
      </c>
      <c r="I1121" s="72">
        <f t="shared" si="222"/>
        <v>0</v>
      </c>
      <c r="J1121" s="72">
        <v>284</v>
      </c>
      <c r="K1121" s="72">
        <f t="shared" si="223"/>
        <v>21</v>
      </c>
      <c r="L1121" s="72">
        <f t="shared" si="224"/>
        <v>0</v>
      </c>
      <c r="M1121" s="11"/>
    </row>
    <row r="1122" spans="2:15" ht="20.25" customHeight="1">
      <c r="B1122" s="13"/>
      <c r="C1122" s="135"/>
      <c r="D1122" s="10" t="s">
        <v>1013</v>
      </c>
      <c r="E1122" s="11">
        <v>269</v>
      </c>
      <c r="F1122" s="72"/>
      <c r="G1122" s="72">
        <f t="shared" si="221"/>
        <v>0</v>
      </c>
      <c r="H1122" s="72">
        <v>0</v>
      </c>
      <c r="I1122" s="72">
        <f t="shared" si="222"/>
        <v>0</v>
      </c>
      <c r="J1122" s="72">
        <v>265</v>
      </c>
      <c r="K1122" s="72">
        <f t="shared" si="223"/>
        <v>4</v>
      </c>
      <c r="L1122" s="72">
        <f t="shared" si="224"/>
        <v>0</v>
      </c>
      <c r="M1122" s="11"/>
      <c r="N1122" s="2"/>
    </row>
    <row r="1123" spans="2:15" ht="20.25" customHeight="1">
      <c r="B1123" s="13"/>
      <c r="C1123" s="135"/>
      <c r="D1123" s="10" t="s">
        <v>992</v>
      </c>
      <c r="E1123" s="11">
        <v>319</v>
      </c>
      <c r="F1123" s="72"/>
      <c r="G1123" s="72">
        <f t="shared" si="221"/>
        <v>0</v>
      </c>
      <c r="H1123" s="72">
        <v>0</v>
      </c>
      <c r="I1123" s="72">
        <f t="shared" si="222"/>
        <v>0</v>
      </c>
      <c r="J1123" s="72">
        <v>298</v>
      </c>
      <c r="K1123" s="72">
        <f t="shared" si="223"/>
        <v>21</v>
      </c>
      <c r="L1123" s="72">
        <f t="shared" si="224"/>
        <v>0</v>
      </c>
      <c r="M1123" s="11"/>
    </row>
    <row r="1124" spans="2:15" ht="20.25" customHeight="1">
      <c r="B1124" s="13"/>
      <c r="C1124" s="135"/>
      <c r="D1124" s="10" t="s">
        <v>1038</v>
      </c>
      <c r="E1124" s="11">
        <v>305</v>
      </c>
      <c r="F1124" s="72"/>
      <c r="G1124" s="72">
        <f t="shared" si="221"/>
        <v>0</v>
      </c>
      <c r="H1124" s="72">
        <v>0</v>
      </c>
      <c r="I1124" s="72">
        <f t="shared" si="222"/>
        <v>0</v>
      </c>
      <c r="J1124" s="72">
        <v>284</v>
      </c>
      <c r="K1124" s="72">
        <f t="shared" si="223"/>
        <v>21</v>
      </c>
      <c r="L1124" s="72">
        <f t="shared" si="224"/>
        <v>0</v>
      </c>
      <c r="M1124" s="11"/>
    </row>
    <row r="1125" spans="2:15" ht="20.25" customHeight="1">
      <c r="B1125" s="13"/>
      <c r="C1125" s="135"/>
      <c r="D1125" s="10" t="s">
        <v>1032</v>
      </c>
      <c r="E1125" s="11">
        <v>270</v>
      </c>
      <c r="F1125" s="72"/>
      <c r="G1125" s="72">
        <f t="shared" si="221"/>
        <v>0</v>
      </c>
      <c r="H1125" s="72">
        <v>0</v>
      </c>
      <c r="I1125" s="72">
        <f t="shared" si="222"/>
        <v>0</v>
      </c>
      <c r="J1125" s="72">
        <v>255</v>
      </c>
      <c r="K1125" s="72">
        <f t="shared" si="223"/>
        <v>15</v>
      </c>
      <c r="L1125" s="72">
        <f t="shared" si="224"/>
        <v>0</v>
      </c>
      <c r="M1125" s="11"/>
    </row>
    <row r="1126" spans="2:15" ht="20.25" customHeight="1">
      <c r="B1126" s="13"/>
      <c r="C1126" s="135"/>
      <c r="D1126" s="10" t="s">
        <v>995</v>
      </c>
      <c r="E1126" s="11">
        <v>255</v>
      </c>
      <c r="F1126" s="72"/>
      <c r="G1126" s="72">
        <f t="shared" si="221"/>
        <v>0</v>
      </c>
      <c r="H1126" s="72">
        <v>0</v>
      </c>
      <c r="I1126" s="72">
        <f t="shared" si="222"/>
        <v>0</v>
      </c>
      <c r="J1126" s="72">
        <v>255</v>
      </c>
      <c r="K1126" s="72">
        <f t="shared" si="223"/>
        <v>0</v>
      </c>
      <c r="L1126" s="72">
        <f t="shared" si="224"/>
        <v>0</v>
      </c>
      <c r="M1126" s="11"/>
      <c r="N1126" s="2"/>
    </row>
    <row r="1127" spans="2:15" ht="20.25" customHeight="1">
      <c r="B1127" s="13"/>
      <c r="C1127" s="135"/>
      <c r="D1127" s="10" t="s">
        <v>1039</v>
      </c>
      <c r="E1127" s="11">
        <v>295</v>
      </c>
      <c r="F1127" s="72"/>
      <c r="G1127" s="72">
        <f t="shared" si="221"/>
        <v>0</v>
      </c>
      <c r="H1127" s="72">
        <v>0</v>
      </c>
      <c r="I1127" s="72">
        <f t="shared" si="222"/>
        <v>0</v>
      </c>
      <c r="J1127" s="72">
        <v>274</v>
      </c>
      <c r="K1127" s="72">
        <f t="shared" si="223"/>
        <v>21</v>
      </c>
      <c r="L1127" s="72">
        <f t="shared" si="224"/>
        <v>0</v>
      </c>
      <c r="M1127" s="11"/>
      <c r="O1127" s="2"/>
    </row>
    <row r="1128" spans="2:15" ht="20.25" customHeight="1">
      <c r="B1128" s="13"/>
      <c r="C1128" s="135"/>
      <c r="D1128" s="10" t="s">
        <v>1040</v>
      </c>
      <c r="E1128" s="11">
        <v>295</v>
      </c>
      <c r="F1128" s="72"/>
      <c r="G1128" s="72">
        <f t="shared" si="221"/>
        <v>0</v>
      </c>
      <c r="H1128" s="72">
        <v>0</v>
      </c>
      <c r="I1128" s="72">
        <f t="shared" si="222"/>
        <v>0</v>
      </c>
      <c r="J1128" s="72">
        <v>274</v>
      </c>
      <c r="K1128" s="72">
        <f t="shared" si="223"/>
        <v>21</v>
      </c>
      <c r="L1128" s="72">
        <f t="shared" si="224"/>
        <v>0</v>
      </c>
      <c r="M1128" s="11"/>
      <c r="N1128" s="2"/>
    </row>
    <row r="1129" spans="2:15" ht="20.25" customHeight="1" thickBot="1">
      <c r="B1129" s="13"/>
      <c r="C1129" s="135"/>
      <c r="D1129" s="137" t="s">
        <v>998</v>
      </c>
      <c r="E1129" s="141">
        <v>299</v>
      </c>
      <c r="F1129" s="184"/>
      <c r="G1129" s="184">
        <f t="shared" si="221"/>
        <v>0</v>
      </c>
      <c r="H1129" s="184">
        <v>0</v>
      </c>
      <c r="I1129" s="184">
        <f t="shared" si="222"/>
        <v>0</v>
      </c>
      <c r="J1129" s="184">
        <v>277</v>
      </c>
      <c r="K1129" s="184">
        <f t="shared" si="223"/>
        <v>22</v>
      </c>
      <c r="L1129" s="184">
        <f t="shared" si="224"/>
        <v>0</v>
      </c>
      <c r="M1129" s="141"/>
    </row>
    <row r="1130" spans="2:15" ht="21" customHeight="1">
      <c r="B1130" s="13"/>
      <c r="C1130" s="135"/>
      <c r="D1130" s="10" t="s">
        <v>985</v>
      </c>
      <c r="E1130" s="11">
        <v>307</v>
      </c>
      <c r="F1130" s="72"/>
      <c r="G1130" s="72">
        <f t="shared" si="221"/>
        <v>0</v>
      </c>
      <c r="H1130" s="72">
        <v>0</v>
      </c>
      <c r="I1130" s="72">
        <f t="shared" si="222"/>
        <v>0</v>
      </c>
      <c r="J1130" s="72">
        <v>265</v>
      </c>
      <c r="K1130" s="72">
        <f t="shared" si="223"/>
        <v>42</v>
      </c>
      <c r="L1130" s="72">
        <f t="shared" si="224"/>
        <v>0</v>
      </c>
      <c r="M1130" s="11"/>
      <c r="N1130" s="2"/>
    </row>
    <row r="1131" spans="2:15" ht="21" customHeight="1">
      <c r="B1131" s="13"/>
      <c r="C1131" s="135"/>
      <c r="D1131" s="10" t="s">
        <v>1034</v>
      </c>
      <c r="E1131" s="11">
        <v>272</v>
      </c>
      <c r="F1131" s="72"/>
      <c r="G1131" s="72">
        <f t="shared" si="221"/>
        <v>0</v>
      </c>
      <c r="H1131" s="72">
        <v>0</v>
      </c>
      <c r="I1131" s="72">
        <f t="shared" si="222"/>
        <v>0</v>
      </c>
      <c r="J1131" s="72">
        <v>265</v>
      </c>
      <c r="K1131" s="72">
        <f t="shared" si="223"/>
        <v>7</v>
      </c>
      <c r="L1131" s="72">
        <f t="shared" si="224"/>
        <v>0</v>
      </c>
      <c r="M1131" s="11"/>
    </row>
    <row r="1132" spans="2:15" ht="20.25" customHeight="1">
      <c r="B1132" s="13"/>
      <c r="C1132" s="135"/>
      <c r="D1132" s="10" t="s">
        <v>1035</v>
      </c>
      <c r="E1132" s="11">
        <v>254</v>
      </c>
      <c r="F1132" s="72"/>
      <c r="G1132" s="72">
        <f t="shared" si="221"/>
        <v>0</v>
      </c>
      <c r="H1132" s="72">
        <v>0</v>
      </c>
      <c r="I1132" s="72">
        <f t="shared" si="222"/>
        <v>0</v>
      </c>
      <c r="J1132" s="72">
        <v>235</v>
      </c>
      <c r="K1132" s="72">
        <f t="shared" si="223"/>
        <v>19</v>
      </c>
      <c r="L1132" s="72">
        <f t="shared" si="224"/>
        <v>0</v>
      </c>
      <c r="M1132" s="11"/>
      <c r="N1132" s="2"/>
      <c r="O1132" s="2"/>
    </row>
    <row r="1133" spans="2:15" ht="20.25" customHeight="1">
      <c r="B1133" s="13"/>
      <c r="C1133" s="135"/>
      <c r="D1133" s="10" t="s">
        <v>1041</v>
      </c>
      <c r="E1133" s="11">
        <v>285</v>
      </c>
      <c r="F1133" s="72"/>
      <c r="G1133" s="72">
        <f t="shared" si="221"/>
        <v>0</v>
      </c>
      <c r="H1133" s="72">
        <v>0</v>
      </c>
      <c r="I1133" s="72">
        <f t="shared" si="222"/>
        <v>0</v>
      </c>
      <c r="J1133" s="72">
        <v>265</v>
      </c>
      <c r="K1133" s="72">
        <f t="shared" si="223"/>
        <v>20</v>
      </c>
      <c r="L1133" s="72">
        <f t="shared" si="224"/>
        <v>0</v>
      </c>
      <c r="M1133" s="11"/>
      <c r="N1133" s="2"/>
    </row>
    <row r="1134" spans="2:15" ht="20.25" customHeight="1">
      <c r="B1134" s="13"/>
      <c r="C1134" s="135"/>
      <c r="D1134" s="10" t="s">
        <v>1011</v>
      </c>
      <c r="E1134" s="11">
        <v>323</v>
      </c>
      <c r="F1134" s="72"/>
      <c r="G1134" s="72">
        <f t="shared" si="221"/>
        <v>0</v>
      </c>
      <c r="H1134" s="72">
        <v>0</v>
      </c>
      <c r="I1134" s="72">
        <f t="shared" si="222"/>
        <v>0</v>
      </c>
      <c r="J1134" s="72">
        <v>302</v>
      </c>
      <c r="K1134" s="72">
        <f t="shared" si="223"/>
        <v>21</v>
      </c>
      <c r="L1134" s="72">
        <f t="shared" si="224"/>
        <v>0</v>
      </c>
      <c r="M1134" s="11"/>
    </row>
    <row r="1135" spans="2:15" ht="20.25" customHeight="1">
      <c r="B1135" s="13"/>
      <c r="C1135" s="135"/>
      <c r="D1135" s="10" t="s">
        <v>1042</v>
      </c>
      <c r="E1135" s="11">
        <v>280</v>
      </c>
      <c r="F1135" s="72"/>
      <c r="G1135" s="72">
        <f t="shared" si="221"/>
        <v>0</v>
      </c>
      <c r="H1135" s="72">
        <v>0</v>
      </c>
      <c r="I1135" s="72">
        <f t="shared" si="222"/>
        <v>0</v>
      </c>
      <c r="J1135" s="72">
        <v>261</v>
      </c>
      <c r="K1135" s="72">
        <f t="shared" si="223"/>
        <v>19</v>
      </c>
      <c r="L1135" s="72">
        <f t="shared" si="224"/>
        <v>0</v>
      </c>
      <c r="M1135" s="11"/>
    </row>
    <row r="1136" spans="2:15" ht="20.25" customHeight="1">
      <c r="B1136" s="13"/>
      <c r="C1136" s="135"/>
      <c r="D1136" s="10" t="s">
        <v>1013</v>
      </c>
      <c r="E1136" s="11">
        <v>285</v>
      </c>
      <c r="F1136" s="72"/>
      <c r="G1136" s="72">
        <f t="shared" si="221"/>
        <v>0</v>
      </c>
      <c r="H1136" s="72">
        <v>0</v>
      </c>
      <c r="I1136" s="72">
        <f t="shared" si="222"/>
        <v>0</v>
      </c>
      <c r="J1136" s="72">
        <v>265</v>
      </c>
      <c r="K1136" s="72">
        <f t="shared" si="223"/>
        <v>20</v>
      </c>
      <c r="L1136" s="72">
        <f t="shared" si="224"/>
        <v>0</v>
      </c>
      <c r="M1136" s="11"/>
      <c r="N1136" s="2"/>
    </row>
    <row r="1137" spans="2:15" ht="20.25" customHeight="1">
      <c r="B1137" s="13"/>
      <c r="C1137" s="135"/>
      <c r="D1137" s="10" t="s">
        <v>1003</v>
      </c>
      <c r="E1137" s="11">
        <v>309</v>
      </c>
      <c r="F1137" s="72"/>
      <c r="G1137" s="72">
        <f t="shared" si="221"/>
        <v>0</v>
      </c>
      <c r="H1137" s="72">
        <v>0</v>
      </c>
      <c r="I1137" s="72">
        <f t="shared" si="222"/>
        <v>0</v>
      </c>
      <c r="J1137" s="72">
        <v>293</v>
      </c>
      <c r="K1137" s="72">
        <f t="shared" si="223"/>
        <v>16</v>
      </c>
      <c r="L1137" s="72">
        <f t="shared" si="224"/>
        <v>0</v>
      </c>
      <c r="M1137" s="11"/>
    </row>
    <row r="1138" spans="2:15" ht="20.25" customHeight="1">
      <c r="B1138" s="13"/>
      <c r="C1138" s="135"/>
      <c r="D1138" s="10" t="s">
        <v>1043</v>
      </c>
      <c r="E1138" s="11">
        <v>280</v>
      </c>
      <c r="F1138" s="72"/>
      <c r="G1138" s="72">
        <f t="shared" si="221"/>
        <v>0</v>
      </c>
      <c r="H1138" s="72">
        <v>0</v>
      </c>
      <c r="I1138" s="72">
        <f t="shared" si="222"/>
        <v>0</v>
      </c>
      <c r="J1138" s="72">
        <v>260</v>
      </c>
      <c r="K1138" s="72">
        <f t="shared" si="223"/>
        <v>20</v>
      </c>
      <c r="L1138" s="72">
        <f t="shared" si="224"/>
        <v>0</v>
      </c>
      <c r="M1138" s="11"/>
    </row>
    <row r="1139" spans="2:15" ht="20.25" customHeight="1">
      <c r="B1139" s="13"/>
      <c r="C1139" s="135"/>
      <c r="D1139" s="10" t="s">
        <v>1032</v>
      </c>
      <c r="E1139" s="11">
        <v>270</v>
      </c>
      <c r="F1139" s="72"/>
      <c r="G1139" s="72">
        <f t="shared" si="221"/>
        <v>0</v>
      </c>
      <c r="H1139" s="72">
        <v>0</v>
      </c>
      <c r="I1139" s="72">
        <f t="shared" si="222"/>
        <v>0</v>
      </c>
      <c r="J1139" s="72">
        <v>255</v>
      </c>
      <c r="K1139" s="72">
        <f t="shared" si="223"/>
        <v>15</v>
      </c>
      <c r="L1139" s="72">
        <f t="shared" si="224"/>
        <v>0</v>
      </c>
      <c r="M1139" s="11"/>
    </row>
    <row r="1140" spans="2:15" ht="20.25" customHeight="1">
      <c r="B1140" s="13"/>
      <c r="C1140" s="135"/>
      <c r="D1140" s="10" t="s">
        <v>995</v>
      </c>
      <c r="E1140" s="11">
        <v>255</v>
      </c>
      <c r="F1140" s="72"/>
      <c r="G1140" s="72">
        <f t="shared" si="221"/>
        <v>0</v>
      </c>
      <c r="H1140" s="72">
        <v>0</v>
      </c>
      <c r="I1140" s="72">
        <f t="shared" si="222"/>
        <v>0</v>
      </c>
      <c r="J1140" s="72">
        <v>255</v>
      </c>
      <c r="K1140" s="72">
        <f t="shared" si="223"/>
        <v>0</v>
      </c>
      <c r="L1140" s="72">
        <f t="shared" si="224"/>
        <v>0</v>
      </c>
      <c r="M1140" s="11"/>
      <c r="N1140" s="2"/>
    </row>
    <row r="1141" spans="2:15" ht="20.25" customHeight="1">
      <c r="B1141" s="13"/>
      <c r="C1141" s="135"/>
      <c r="D1141" s="10" t="s">
        <v>1044</v>
      </c>
      <c r="E1141" s="11">
        <v>276</v>
      </c>
      <c r="F1141" s="72"/>
      <c r="G1141" s="72">
        <f t="shared" si="221"/>
        <v>0</v>
      </c>
      <c r="H1141" s="72">
        <v>0</v>
      </c>
      <c r="I1141" s="72">
        <f t="shared" si="222"/>
        <v>0</v>
      </c>
      <c r="J1141" s="72">
        <v>256</v>
      </c>
      <c r="K1141" s="72">
        <f t="shared" si="223"/>
        <v>20</v>
      </c>
      <c r="L1141" s="72">
        <f t="shared" si="224"/>
        <v>0</v>
      </c>
      <c r="M1141" s="11"/>
      <c r="O1141" s="2"/>
    </row>
    <row r="1142" spans="2:15" ht="20.25" customHeight="1">
      <c r="B1142" s="13"/>
      <c r="C1142" s="135"/>
      <c r="D1142" s="10" t="s">
        <v>1006</v>
      </c>
      <c r="E1142" s="11">
        <v>276</v>
      </c>
      <c r="F1142" s="72"/>
      <c r="G1142" s="72">
        <f t="shared" si="221"/>
        <v>0</v>
      </c>
      <c r="H1142" s="72">
        <v>0</v>
      </c>
      <c r="I1142" s="72">
        <f t="shared" si="222"/>
        <v>0</v>
      </c>
      <c r="J1142" s="72">
        <v>256</v>
      </c>
      <c r="K1142" s="72">
        <f t="shared" si="223"/>
        <v>20</v>
      </c>
      <c r="L1142" s="72">
        <f t="shared" si="224"/>
        <v>0</v>
      </c>
      <c r="M1142" s="11"/>
      <c r="N1142" s="2"/>
    </row>
    <row r="1143" spans="2:15" ht="20.25" customHeight="1" thickBot="1">
      <c r="B1143" s="13"/>
      <c r="C1143" s="135"/>
      <c r="D1143" s="137" t="s">
        <v>1007</v>
      </c>
      <c r="E1143" s="141">
        <v>276</v>
      </c>
      <c r="F1143" s="184"/>
      <c r="G1143" s="184">
        <f t="shared" si="221"/>
        <v>0</v>
      </c>
      <c r="H1143" s="184">
        <v>0</v>
      </c>
      <c r="I1143" s="184">
        <f t="shared" si="222"/>
        <v>0</v>
      </c>
      <c r="J1143" s="184">
        <v>256</v>
      </c>
      <c r="K1143" s="184">
        <f t="shared" si="223"/>
        <v>20</v>
      </c>
      <c r="L1143" s="184">
        <f t="shared" si="224"/>
        <v>0</v>
      </c>
      <c r="M1143" s="141"/>
    </row>
    <row r="1144" spans="2:15" ht="21" customHeight="1">
      <c r="B1144" s="13"/>
      <c r="C1144" s="135"/>
      <c r="D1144" s="10" t="s">
        <v>1008</v>
      </c>
      <c r="E1144" s="11">
        <v>306</v>
      </c>
      <c r="F1144" s="72"/>
      <c r="G1144" s="72">
        <f t="shared" si="221"/>
        <v>0</v>
      </c>
      <c r="H1144" s="72">
        <v>0</v>
      </c>
      <c r="I1144" s="72">
        <f t="shared" si="222"/>
        <v>0</v>
      </c>
      <c r="J1144" s="72">
        <v>265</v>
      </c>
      <c r="K1144" s="72">
        <f t="shared" si="223"/>
        <v>41</v>
      </c>
      <c r="L1144" s="72">
        <f t="shared" si="224"/>
        <v>0</v>
      </c>
      <c r="M1144" s="11"/>
    </row>
    <row r="1145" spans="2:15" ht="21" customHeight="1">
      <c r="B1145" s="13"/>
      <c r="C1145" s="135"/>
      <c r="D1145" s="10" t="s">
        <v>1034</v>
      </c>
      <c r="E1145" s="11">
        <v>272</v>
      </c>
      <c r="F1145" s="72"/>
      <c r="G1145" s="72">
        <f t="shared" si="221"/>
        <v>0</v>
      </c>
      <c r="H1145" s="72">
        <v>0</v>
      </c>
      <c r="I1145" s="72">
        <f t="shared" si="222"/>
        <v>0</v>
      </c>
      <c r="J1145" s="72">
        <v>265</v>
      </c>
      <c r="K1145" s="72">
        <f t="shared" si="223"/>
        <v>7</v>
      </c>
      <c r="L1145" s="72">
        <f t="shared" si="224"/>
        <v>0</v>
      </c>
      <c r="M1145" s="11"/>
    </row>
    <row r="1146" spans="2:15" ht="20.25" customHeight="1">
      <c r="B1146" s="13"/>
      <c r="C1146" s="135"/>
      <c r="D1146" s="146" t="s">
        <v>1045</v>
      </c>
      <c r="E1146" s="11">
        <v>272</v>
      </c>
      <c r="F1146" s="72"/>
      <c r="G1146" s="72">
        <f t="shared" si="221"/>
        <v>0</v>
      </c>
      <c r="H1146" s="72">
        <v>0</v>
      </c>
      <c r="I1146" s="72">
        <f t="shared" si="222"/>
        <v>0</v>
      </c>
      <c r="J1146" s="72">
        <v>240</v>
      </c>
      <c r="K1146" s="72">
        <f t="shared" si="223"/>
        <v>32</v>
      </c>
      <c r="L1146" s="72">
        <f t="shared" si="224"/>
        <v>0</v>
      </c>
      <c r="M1146" s="11"/>
    </row>
    <row r="1147" spans="2:15" ht="20.25" customHeight="1">
      <c r="B1147" s="13"/>
      <c r="C1147" s="135"/>
      <c r="D1147" s="10" t="s">
        <v>1036</v>
      </c>
      <c r="E1147" s="11">
        <v>305</v>
      </c>
      <c r="F1147" s="72"/>
      <c r="G1147" s="72">
        <f t="shared" si="221"/>
        <v>0</v>
      </c>
      <c r="H1147" s="72">
        <v>0</v>
      </c>
      <c r="I1147" s="72">
        <f t="shared" si="222"/>
        <v>0</v>
      </c>
      <c r="J1147" s="72">
        <v>288</v>
      </c>
      <c r="K1147" s="72">
        <f t="shared" si="223"/>
        <v>17</v>
      </c>
      <c r="L1147" s="72">
        <f t="shared" si="224"/>
        <v>0</v>
      </c>
      <c r="M1147" s="11"/>
    </row>
    <row r="1148" spans="2:15" ht="20.25" customHeight="1">
      <c r="B1148" s="13"/>
      <c r="C1148" s="135"/>
      <c r="D1148" s="10" t="s">
        <v>1011</v>
      </c>
      <c r="E1148" s="11">
        <v>304</v>
      </c>
      <c r="F1148" s="72"/>
      <c r="G1148" s="72">
        <f t="shared" si="221"/>
        <v>0</v>
      </c>
      <c r="H1148" s="72">
        <v>0</v>
      </c>
      <c r="I1148" s="72">
        <f t="shared" si="222"/>
        <v>0</v>
      </c>
      <c r="J1148" s="72">
        <v>284</v>
      </c>
      <c r="K1148" s="72">
        <f t="shared" si="223"/>
        <v>20</v>
      </c>
      <c r="L1148" s="72">
        <f t="shared" si="224"/>
        <v>0</v>
      </c>
      <c r="M1148" s="11"/>
    </row>
    <row r="1149" spans="2:15" ht="20.25" customHeight="1">
      <c r="B1149" s="13"/>
      <c r="C1149" s="135"/>
      <c r="D1149" s="146" t="s">
        <v>1046</v>
      </c>
      <c r="E1149" s="11">
        <v>295</v>
      </c>
      <c r="F1149" s="72"/>
      <c r="G1149" s="72">
        <f t="shared" si="221"/>
        <v>0</v>
      </c>
      <c r="H1149" s="72">
        <v>0</v>
      </c>
      <c r="I1149" s="72">
        <f t="shared" si="222"/>
        <v>0</v>
      </c>
      <c r="J1149" s="72">
        <v>278</v>
      </c>
      <c r="K1149" s="72">
        <f t="shared" si="223"/>
        <v>17</v>
      </c>
      <c r="L1149" s="72">
        <f t="shared" si="224"/>
        <v>0</v>
      </c>
      <c r="M1149" s="11"/>
    </row>
    <row r="1150" spans="2:15" ht="20.25" customHeight="1">
      <c r="B1150" s="13"/>
      <c r="C1150" s="135"/>
      <c r="D1150" s="10" t="s">
        <v>1047</v>
      </c>
      <c r="E1150" s="11">
        <v>288</v>
      </c>
      <c r="F1150" s="72"/>
      <c r="G1150" s="72">
        <f t="shared" si="221"/>
        <v>0</v>
      </c>
      <c r="H1150" s="72">
        <v>0</v>
      </c>
      <c r="I1150" s="72">
        <f t="shared" si="222"/>
        <v>0</v>
      </c>
      <c r="J1150" s="72">
        <v>262</v>
      </c>
      <c r="K1150" s="72">
        <f t="shared" si="223"/>
        <v>26</v>
      </c>
      <c r="L1150" s="72">
        <f t="shared" si="224"/>
        <v>0</v>
      </c>
      <c r="M1150" s="11"/>
    </row>
    <row r="1151" spans="2:15" ht="20.25" customHeight="1">
      <c r="B1151" s="13"/>
      <c r="C1151" s="135"/>
      <c r="D1151" s="10" t="s">
        <v>1048</v>
      </c>
      <c r="E1151" s="11">
        <v>289</v>
      </c>
      <c r="F1151" s="72"/>
      <c r="G1151" s="72">
        <f t="shared" si="221"/>
        <v>0</v>
      </c>
      <c r="H1151" s="72">
        <v>0</v>
      </c>
      <c r="I1151" s="72">
        <f t="shared" si="222"/>
        <v>0</v>
      </c>
      <c r="J1151" s="72">
        <v>271</v>
      </c>
      <c r="K1151" s="72">
        <f t="shared" si="223"/>
        <v>18</v>
      </c>
      <c r="L1151" s="72">
        <f t="shared" si="224"/>
        <v>0</v>
      </c>
      <c r="M1151" s="11"/>
    </row>
    <row r="1152" spans="2:15" ht="20.25" customHeight="1">
      <c r="B1152" s="13"/>
      <c r="C1152" s="135"/>
      <c r="D1152" s="146" t="s">
        <v>1049</v>
      </c>
      <c r="E1152" s="11">
        <v>295</v>
      </c>
      <c r="F1152" s="72"/>
      <c r="G1152" s="72">
        <f t="shared" si="221"/>
        <v>0</v>
      </c>
      <c r="H1152" s="72">
        <v>0</v>
      </c>
      <c r="I1152" s="72">
        <f t="shared" si="222"/>
        <v>0</v>
      </c>
      <c r="J1152" s="72">
        <v>278</v>
      </c>
      <c r="K1152" s="72">
        <f t="shared" si="223"/>
        <v>17</v>
      </c>
      <c r="L1152" s="72">
        <f t="shared" si="224"/>
        <v>0</v>
      </c>
      <c r="M1152" s="11"/>
    </row>
    <row r="1153" spans="2:15" ht="20.25" customHeight="1">
      <c r="B1153" s="13"/>
      <c r="C1153" s="135"/>
      <c r="D1153" s="10" t="s">
        <v>1050</v>
      </c>
      <c r="E1153" s="11">
        <v>286</v>
      </c>
      <c r="F1153" s="72"/>
      <c r="G1153" s="72">
        <f t="shared" si="221"/>
        <v>0</v>
      </c>
      <c r="H1153" s="72">
        <v>0</v>
      </c>
      <c r="I1153" s="72">
        <f t="shared" si="222"/>
        <v>0</v>
      </c>
      <c r="J1153" s="72">
        <v>255</v>
      </c>
      <c r="K1153" s="72">
        <f t="shared" si="223"/>
        <v>31</v>
      </c>
      <c r="L1153" s="72">
        <f t="shared" si="224"/>
        <v>0</v>
      </c>
      <c r="M1153" s="11"/>
    </row>
    <row r="1154" spans="2:15" ht="20.25" customHeight="1">
      <c r="B1154" s="13"/>
      <c r="C1154" s="135"/>
      <c r="D1154" s="10" t="s">
        <v>1016</v>
      </c>
      <c r="E1154" s="11">
        <v>286</v>
      </c>
      <c r="F1154" s="72"/>
      <c r="G1154" s="72">
        <f t="shared" si="221"/>
        <v>0</v>
      </c>
      <c r="H1154" s="72">
        <v>0</v>
      </c>
      <c r="I1154" s="72">
        <f t="shared" si="222"/>
        <v>0</v>
      </c>
      <c r="J1154" s="72">
        <v>255</v>
      </c>
      <c r="K1154" s="72">
        <f t="shared" si="223"/>
        <v>31</v>
      </c>
      <c r="L1154" s="72">
        <f t="shared" si="224"/>
        <v>0</v>
      </c>
      <c r="M1154" s="11"/>
      <c r="N1154" s="2"/>
    </row>
    <row r="1155" spans="2:15" ht="20.25" customHeight="1">
      <c r="B1155" s="13"/>
      <c r="C1155" s="135"/>
      <c r="D1155" s="10" t="s">
        <v>1005</v>
      </c>
      <c r="E1155" s="11">
        <v>296</v>
      </c>
      <c r="F1155" s="72"/>
      <c r="G1155" s="72">
        <f t="shared" si="221"/>
        <v>0</v>
      </c>
      <c r="H1155" s="72">
        <v>0</v>
      </c>
      <c r="I1155" s="72">
        <f t="shared" si="222"/>
        <v>0</v>
      </c>
      <c r="J1155" s="72">
        <v>265</v>
      </c>
      <c r="K1155" s="72">
        <f t="shared" si="223"/>
        <v>31</v>
      </c>
      <c r="L1155" s="72">
        <f t="shared" si="224"/>
        <v>0</v>
      </c>
      <c r="M1155" s="11"/>
      <c r="O1155" s="2"/>
    </row>
    <row r="1156" spans="2:15" ht="20.25" customHeight="1">
      <c r="B1156" s="13"/>
      <c r="C1156" s="135"/>
      <c r="D1156" s="10" t="s">
        <v>1026</v>
      </c>
      <c r="E1156" s="11">
        <v>286</v>
      </c>
      <c r="F1156" s="72"/>
      <c r="G1156" s="72">
        <f t="shared" si="221"/>
        <v>0</v>
      </c>
      <c r="H1156" s="72">
        <v>0</v>
      </c>
      <c r="I1156" s="72">
        <f t="shared" si="222"/>
        <v>0</v>
      </c>
      <c r="J1156" s="72">
        <v>255</v>
      </c>
      <c r="K1156" s="72">
        <f t="shared" si="223"/>
        <v>31</v>
      </c>
      <c r="L1156" s="72">
        <f t="shared" si="224"/>
        <v>0</v>
      </c>
      <c r="M1156" s="11"/>
      <c r="N1156" s="2"/>
    </row>
    <row r="1157" spans="2:15" ht="20.25" customHeight="1" thickBot="1">
      <c r="B1157" s="13"/>
      <c r="C1157" s="135"/>
      <c r="D1157" s="137" t="s">
        <v>1051</v>
      </c>
      <c r="E1157" s="141">
        <v>286</v>
      </c>
      <c r="F1157" s="184"/>
      <c r="G1157" s="184">
        <f t="shared" si="221"/>
        <v>0</v>
      </c>
      <c r="H1157" s="184">
        <v>0</v>
      </c>
      <c r="I1157" s="184">
        <f t="shared" si="222"/>
        <v>0</v>
      </c>
      <c r="J1157" s="184">
        <v>255</v>
      </c>
      <c r="K1157" s="184">
        <f t="shared" si="223"/>
        <v>31</v>
      </c>
      <c r="L1157" s="184">
        <f t="shared" si="224"/>
        <v>0</v>
      </c>
      <c r="M1157" s="185"/>
    </row>
    <row r="1158" spans="2:15" ht="20.25" customHeight="1">
      <c r="B1158" s="13"/>
      <c r="C1158" s="135"/>
      <c r="D1158" s="186" t="s">
        <v>1052</v>
      </c>
      <c r="E1158" s="187">
        <v>425</v>
      </c>
      <c r="F1158" s="188"/>
      <c r="G1158" s="188">
        <f t="shared" si="221"/>
        <v>0</v>
      </c>
      <c r="H1158" s="188"/>
      <c r="I1158" s="189">
        <f t="shared" si="222"/>
        <v>0</v>
      </c>
      <c r="J1158" s="188">
        <v>385</v>
      </c>
      <c r="K1158" s="188">
        <f t="shared" si="223"/>
        <v>40</v>
      </c>
      <c r="L1158" s="189">
        <f t="shared" si="224"/>
        <v>0</v>
      </c>
      <c r="M1158" s="187"/>
    </row>
    <row r="1159" spans="2:15" ht="20.25" customHeight="1">
      <c r="B1159" s="13"/>
      <c r="C1159" s="135"/>
      <c r="D1159" s="186" t="s">
        <v>1053</v>
      </c>
      <c r="E1159" s="187">
        <v>425</v>
      </c>
      <c r="F1159" s="188"/>
      <c r="G1159" s="188">
        <f t="shared" si="221"/>
        <v>0</v>
      </c>
      <c r="H1159" s="188"/>
      <c r="I1159" s="190">
        <f t="shared" si="222"/>
        <v>0</v>
      </c>
      <c r="J1159" s="188">
        <v>385</v>
      </c>
      <c r="K1159" s="188">
        <f t="shared" si="223"/>
        <v>40</v>
      </c>
      <c r="L1159" s="190">
        <f t="shared" si="224"/>
        <v>0</v>
      </c>
      <c r="M1159" s="187"/>
    </row>
    <row r="1160" spans="2:15" ht="20.25" customHeight="1">
      <c r="B1160" s="13"/>
      <c r="C1160" s="135"/>
      <c r="D1160" s="186" t="s">
        <v>1054</v>
      </c>
      <c r="E1160" s="187">
        <v>425</v>
      </c>
      <c r="F1160" s="188"/>
      <c r="G1160" s="188">
        <f t="shared" si="221"/>
        <v>0</v>
      </c>
      <c r="H1160" s="188"/>
      <c r="I1160" s="190">
        <f t="shared" si="222"/>
        <v>0</v>
      </c>
      <c r="J1160" s="188">
        <v>385</v>
      </c>
      <c r="K1160" s="188">
        <f t="shared" si="223"/>
        <v>40</v>
      </c>
      <c r="L1160" s="190">
        <f t="shared" si="224"/>
        <v>0</v>
      </c>
      <c r="M1160" s="187"/>
    </row>
    <row r="1161" spans="2:15" ht="20.25" customHeight="1">
      <c r="B1161" s="13"/>
      <c r="C1161" s="135"/>
      <c r="D1161" s="147" t="s">
        <v>1055</v>
      </c>
      <c r="E1161" s="34">
        <v>272</v>
      </c>
      <c r="F1161" s="191"/>
      <c r="G1161" s="191">
        <f t="shared" si="221"/>
        <v>0</v>
      </c>
      <c r="H1161" s="191">
        <v>0</v>
      </c>
      <c r="I1161" s="192">
        <f t="shared" si="222"/>
        <v>0</v>
      </c>
      <c r="J1161" s="191">
        <v>265</v>
      </c>
      <c r="K1161" s="191">
        <f t="shared" si="223"/>
        <v>7</v>
      </c>
      <c r="L1161" s="192">
        <f t="shared" si="224"/>
        <v>0</v>
      </c>
      <c r="M1161" s="34"/>
    </row>
    <row r="1162" spans="2:15" ht="20.25" customHeight="1">
      <c r="B1162" s="13"/>
      <c r="C1162" s="135"/>
      <c r="D1162" s="147" t="s">
        <v>1034</v>
      </c>
      <c r="E1162" s="34">
        <v>309</v>
      </c>
      <c r="F1162" s="191"/>
      <c r="G1162" s="191">
        <f t="shared" si="221"/>
        <v>0</v>
      </c>
      <c r="H1162" s="191">
        <v>0</v>
      </c>
      <c r="I1162" s="191">
        <f t="shared" si="222"/>
        <v>0</v>
      </c>
      <c r="J1162" s="191">
        <v>265</v>
      </c>
      <c r="K1162" s="191">
        <f t="shared" si="223"/>
        <v>44</v>
      </c>
      <c r="L1162" s="191">
        <f t="shared" si="224"/>
        <v>0</v>
      </c>
      <c r="M1162" s="34"/>
    </row>
    <row r="1163" spans="2:15" ht="20.25" customHeight="1">
      <c r="B1163" s="13"/>
      <c r="C1163" s="135"/>
      <c r="D1163" s="193" t="s">
        <v>1056</v>
      </c>
      <c r="E1163" s="157">
        <v>295</v>
      </c>
      <c r="F1163" s="192"/>
      <c r="G1163" s="192">
        <f t="shared" si="221"/>
        <v>0</v>
      </c>
      <c r="H1163" s="192">
        <v>0</v>
      </c>
      <c r="I1163" s="192">
        <f t="shared" si="222"/>
        <v>0</v>
      </c>
      <c r="J1163" s="192">
        <v>278</v>
      </c>
      <c r="K1163" s="192">
        <f t="shared" si="223"/>
        <v>17</v>
      </c>
      <c r="L1163" s="192">
        <f t="shared" si="224"/>
        <v>0</v>
      </c>
      <c r="M1163" s="194"/>
    </row>
    <row r="1164" spans="2:15" ht="20.25" customHeight="1">
      <c r="B1164" s="13"/>
      <c r="C1164" s="135"/>
      <c r="D1164" s="159" t="s">
        <v>1057</v>
      </c>
      <c r="E1164" s="34">
        <v>295</v>
      </c>
      <c r="F1164" s="191"/>
      <c r="G1164" s="191">
        <f t="shared" si="221"/>
        <v>0</v>
      </c>
      <c r="H1164" s="191">
        <v>0</v>
      </c>
      <c r="I1164" s="191">
        <f t="shared" si="222"/>
        <v>0</v>
      </c>
      <c r="J1164" s="191">
        <v>278</v>
      </c>
      <c r="K1164" s="191">
        <f t="shared" si="223"/>
        <v>17</v>
      </c>
      <c r="L1164" s="191">
        <f t="shared" si="224"/>
        <v>0</v>
      </c>
      <c r="M1164" s="195"/>
      <c r="O1164" s="2"/>
    </row>
    <row r="1165" spans="2:15" ht="24.75" customHeight="1">
      <c r="B1165" s="13"/>
      <c r="C1165" s="135"/>
      <c r="D1165" s="147" t="s">
        <v>1011</v>
      </c>
      <c r="E1165" s="34">
        <v>269</v>
      </c>
      <c r="F1165" s="191"/>
      <c r="G1165" s="191">
        <f t="shared" si="221"/>
        <v>0</v>
      </c>
      <c r="H1165" s="191">
        <v>0</v>
      </c>
      <c r="I1165" s="191">
        <f t="shared" si="222"/>
        <v>0</v>
      </c>
      <c r="J1165" s="191">
        <v>280</v>
      </c>
      <c r="K1165" s="191">
        <f t="shared" si="223"/>
        <v>-11</v>
      </c>
      <c r="L1165" s="191">
        <f t="shared" si="224"/>
        <v>0</v>
      </c>
      <c r="M1165" s="195"/>
    </row>
    <row r="1166" spans="2:15" ht="21" customHeight="1">
      <c r="B1166" s="13"/>
      <c r="C1166" s="135"/>
      <c r="D1166" s="147" t="s">
        <v>1058</v>
      </c>
      <c r="E1166" s="34">
        <v>309</v>
      </c>
      <c r="F1166" s="191"/>
      <c r="G1166" s="191">
        <f t="shared" si="221"/>
        <v>0</v>
      </c>
      <c r="H1166" s="191">
        <v>0</v>
      </c>
      <c r="I1166" s="191">
        <f t="shared" si="222"/>
        <v>0</v>
      </c>
      <c r="J1166" s="191">
        <v>293</v>
      </c>
      <c r="K1166" s="191">
        <f t="shared" si="223"/>
        <v>16</v>
      </c>
      <c r="L1166" s="191">
        <f t="shared" si="224"/>
        <v>0</v>
      </c>
      <c r="M1166" s="195"/>
    </row>
    <row r="1167" spans="2:15" ht="21" customHeight="1">
      <c r="B1167" s="13"/>
      <c r="C1167" s="135"/>
      <c r="D1167" s="159" t="s">
        <v>1059</v>
      </c>
      <c r="E1167" s="34">
        <v>295</v>
      </c>
      <c r="F1167" s="191"/>
      <c r="G1167" s="191">
        <f t="shared" si="221"/>
        <v>0</v>
      </c>
      <c r="H1167" s="191">
        <v>0</v>
      </c>
      <c r="I1167" s="191">
        <f t="shared" si="222"/>
        <v>0</v>
      </c>
      <c r="J1167" s="191">
        <v>278</v>
      </c>
      <c r="K1167" s="191">
        <f t="shared" si="223"/>
        <v>17</v>
      </c>
      <c r="L1167" s="191">
        <f t="shared" si="224"/>
        <v>0</v>
      </c>
      <c r="M1167" s="195"/>
    </row>
    <row r="1168" spans="2:15" ht="21" customHeight="1">
      <c r="B1168" s="13"/>
      <c r="C1168" s="135"/>
      <c r="D1168" s="147" t="s">
        <v>1060</v>
      </c>
      <c r="E1168" s="34">
        <v>286</v>
      </c>
      <c r="F1168" s="191"/>
      <c r="G1168" s="191">
        <f t="shared" si="221"/>
        <v>0</v>
      </c>
      <c r="H1168" s="191">
        <v>0</v>
      </c>
      <c r="I1168" s="191">
        <f t="shared" si="222"/>
        <v>0</v>
      </c>
      <c r="J1168" s="191">
        <v>255</v>
      </c>
      <c r="K1168" s="191">
        <f t="shared" si="223"/>
        <v>31</v>
      </c>
      <c r="L1168" s="191">
        <f t="shared" si="224"/>
        <v>0</v>
      </c>
      <c r="M1168" s="195"/>
    </row>
    <row r="1169" spans="2:13" ht="21" customHeight="1">
      <c r="B1169" s="13"/>
      <c r="C1169" s="135"/>
      <c r="D1169" s="147" t="s">
        <v>1006</v>
      </c>
      <c r="E1169" s="34">
        <v>286</v>
      </c>
      <c r="F1169" s="191"/>
      <c r="G1169" s="191">
        <f t="shared" si="221"/>
        <v>0</v>
      </c>
      <c r="H1169" s="191">
        <v>0</v>
      </c>
      <c r="I1169" s="191">
        <f t="shared" si="222"/>
        <v>0</v>
      </c>
      <c r="J1169" s="191">
        <v>255</v>
      </c>
      <c r="K1169" s="191">
        <f t="shared" si="223"/>
        <v>31</v>
      </c>
      <c r="L1169" s="191">
        <f t="shared" si="224"/>
        <v>0</v>
      </c>
      <c r="M1169" s="195"/>
    </row>
    <row r="1170" spans="2:13" ht="21" customHeight="1">
      <c r="B1170" s="13"/>
      <c r="C1170" s="135"/>
      <c r="D1170" s="147" t="s">
        <v>1051</v>
      </c>
      <c r="E1170" s="34">
        <v>286</v>
      </c>
      <c r="F1170" s="191"/>
      <c r="G1170" s="191">
        <f t="shared" si="221"/>
        <v>0</v>
      </c>
      <c r="H1170" s="191">
        <v>0</v>
      </c>
      <c r="I1170" s="191">
        <f t="shared" si="222"/>
        <v>0</v>
      </c>
      <c r="J1170" s="191">
        <v>255</v>
      </c>
      <c r="K1170" s="191">
        <f t="shared" si="223"/>
        <v>31</v>
      </c>
      <c r="L1170" s="191">
        <f t="shared" si="224"/>
        <v>0</v>
      </c>
      <c r="M1170" s="195"/>
    </row>
    <row r="1171" spans="2:13" ht="25.5" customHeight="1">
      <c r="B1171" s="13"/>
      <c r="C1171" s="135"/>
      <c r="D1171" s="159" t="s">
        <v>1061</v>
      </c>
      <c r="E1171" s="34">
        <v>272</v>
      </c>
      <c r="F1171" s="191"/>
      <c r="G1171" s="191">
        <f t="shared" si="221"/>
        <v>0</v>
      </c>
      <c r="H1171" s="191">
        <v>0</v>
      </c>
      <c r="I1171" s="191">
        <f t="shared" si="222"/>
        <v>0</v>
      </c>
      <c r="J1171" s="191">
        <v>240</v>
      </c>
      <c r="K1171" s="191">
        <f t="shared" si="223"/>
        <v>32</v>
      </c>
      <c r="L1171" s="191">
        <f t="shared" si="224"/>
        <v>0</v>
      </c>
      <c r="M1171" s="195"/>
    </row>
    <row r="1172" spans="2:13" ht="25.5" customHeight="1">
      <c r="B1172" s="13"/>
      <c r="C1172" s="135"/>
      <c r="D1172" s="147" t="s">
        <v>1016</v>
      </c>
      <c r="E1172" s="34">
        <v>286</v>
      </c>
      <c r="F1172" s="191"/>
      <c r="G1172" s="191">
        <f t="shared" si="221"/>
        <v>0</v>
      </c>
      <c r="H1172" s="191"/>
      <c r="I1172" s="191">
        <f t="shared" si="222"/>
        <v>0</v>
      </c>
      <c r="J1172" s="191">
        <v>255</v>
      </c>
      <c r="K1172" s="191">
        <f t="shared" si="223"/>
        <v>31</v>
      </c>
      <c r="L1172" s="191">
        <f t="shared" si="224"/>
        <v>0</v>
      </c>
      <c r="M1172" s="195"/>
    </row>
    <row r="1173" spans="2:13" ht="25.5" customHeight="1">
      <c r="B1173" s="13"/>
      <c r="C1173" s="135"/>
      <c r="D1173" s="159" t="s">
        <v>1062</v>
      </c>
      <c r="E1173" s="34">
        <v>295</v>
      </c>
      <c r="F1173" s="191"/>
      <c r="G1173" s="191">
        <f t="shared" si="221"/>
        <v>0</v>
      </c>
      <c r="H1173" s="191">
        <v>0</v>
      </c>
      <c r="I1173" s="191">
        <f>G1173+H1173</f>
        <v>0</v>
      </c>
      <c r="J1173" s="191">
        <v>278</v>
      </c>
      <c r="K1173" s="191">
        <f t="shared" si="223"/>
        <v>17</v>
      </c>
      <c r="L1173" s="191">
        <f t="shared" si="224"/>
        <v>0</v>
      </c>
      <c r="M1173" s="195"/>
    </row>
    <row r="1174" spans="2:13" ht="25.5" customHeight="1">
      <c r="B1174" s="13"/>
      <c r="C1174" s="135"/>
      <c r="D1174" s="147" t="s">
        <v>1015</v>
      </c>
      <c r="E1174" s="34">
        <v>286</v>
      </c>
      <c r="F1174" s="191"/>
      <c r="G1174" s="191">
        <f t="shared" si="221"/>
        <v>0</v>
      </c>
      <c r="H1174" s="191">
        <v>0</v>
      </c>
      <c r="I1174" s="191">
        <f t="shared" si="222"/>
        <v>0</v>
      </c>
      <c r="J1174" s="191">
        <v>255</v>
      </c>
      <c r="K1174" s="191">
        <f t="shared" si="223"/>
        <v>31</v>
      </c>
      <c r="L1174" s="191">
        <f t="shared" si="224"/>
        <v>0</v>
      </c>
      <c r="M1174" s="195"/>
    </row>
    <row r="1175" spans="2:13" ht="25.5" customHeight="1">
      <c r="B1175" s="17"/>
      <c r="C1175" s="196"/>
      <c r="D1175" s="174"/>
      <c r="E1175" s="119"/>
      <c r="F1175" s="197">
        <f>SUM(F1116:F1174)</f>
        <v>0</v>
      </c>
      <c r="G1175" s="197">
        <f>SUM(G1116:G1174)</f>
        <v>0</v>
      </c>
      <c r="H1175" s="197">
        <f>SUM(H1146:H1174)</f>
        <v>0</v>
      </c>
      <c r="I1175" s="197">
        <f>SUM(I1116:I1174)</f>
        <v>0</v>
      </c>
      <c r="J1175" s="197"/>
      <c r="K1175" s="197"/>
      <c r="L1175" s="197">
        <f>SUM(L1116:L1174)</f>
        <v>0</v>
      </c>
      <c r="M1175" s="198" t="e">
        <f>L1175/I1175</f>
        <v>#DIV/0!</v>
      </c>
    </row>
    <row r="1176" spans="2:13" ht="25.5" customHeight="1">
      <c r="B1176" s="199" t="s">
        <v>1063</v>
      </c>
      <c r="C1176" s="200"/>
      <c r="D1176" s="201"/>
      <c r="E1176" s="115"/>
      <c r="F1176" s="115"/>
      <c r="G1176" s="115">
        <f>G1002+G1006+G1054+G1175+G1012</f>
        <v>0</v>
      </c>
      <c r="H1176" s="115">
        <f>H1175+H1054+H1006+H1002</f>
        <v>0</v>
      </c>
      <c r="I1176" s="115">
        <f>I1175+I1054+I1006+I1002+I1012</f>
        <v>0</v>
      </c>
      <c r="J1176" s="115"/>
      <c r="K1176" s="115"/>
      <c r="L1176" s="115">
        <f>L1175+L1054+L1006+L1002+L1012</f>
        <v>0</v>
      </c>
      <c r="M1176" s="198" t="e">
        <f>L1176/G1176</f>
        <v>#DIV/0!</v>
      </c>
    </row>
    <row r="1177" spans="2:13" ht="17.25" thickBot="1"/>
    <row r="1178" spans="2:13" ht="17.25" thickBot="1">
      <c r="F1178" s="202" t="s">
        <v>1064</v>
      </c>
      <c r="G1178" s="203">
        <f>G1176+G997</f>
        <v>95970300</v>
      </c>
      <c r="H1178" s="204">
        <f>H1176+H997</f>
        <v>9597030</v>
      </c>
      <c r="I1178" s="204">
        <f>I1176+I997</f>
        <v>105567330</v>
      </c>
      <c r="J1178" s="204">
        <f>+J997</f>
        <v>0</v>
      </c>
      <c r="K1178" s="204">
        <f>K1176+K997</f>
        <v>0</v>
      </c>
      <c r="L1178" s="204">
        <f>L1176+L997</f>
        <v>11510250</v>
      </c>
      <c r="M1178" s="2">
        <f>I1175-L1175</f>
        <v>0</v>
      </c>
    </row>
    <row r="1180" spans="2:13">
      <c r="D1180" s="2"/>
    </row>
  </sheetData>
  <mergeCells count="178">
    <mergeCell ref="B1055:B1175"/>
    <mergeCell ref="C1055:C1175"/>
    <mergeCell ref="D1115:M1115"/>
    <mergeCell ref="B1176:D1176"/>
    <mergeCell ref="B1007:B1012"/>
    <mergeCell ref="C1007:C1011"/>
    <mergeCell ref="C1012:D1012"/>
    <mergeCell ref="B1013:B1054"/>
    <mergeCell ref="C1013:C1053"/>
    <mergeCell ref="C1054:E1054"/>
    <mergeCell ref="B1000:B1002"/>
    <mergeCell ref="C1000:C1001"/>
    <mergeCell ref="C1002:E1002"/>
    <mergeCell ref="B1003:B1006"/>
    <mergeCell ref="C1003:C1005"/>
    <mergeCell ref="C1006:E1006"/>
    <mergeCell ref="B949:B971"/>
    <mergeCell ref="B972:B980"/>
    <mergeCell ref="B981:B987"/>
    <mergeCell ref="B988:B996"/>
    <mergeCell ref="B997:D997"/>
    <mergeCell ref="B999:M999"/>
    <mergeCell ref="B927:B929"/>
    <mergeCell ref="B930:B932"/>
    <mergeCell ref="B933:B935"/>
    <mergeCell ref="B936:B940"/>
    <mergeCell ref="B941:B944"/>
    <mergeCell ref="B945:B948"/>
    <mergeCell ref="B907:B909"/>
    <mergeCell ref="B910:B912"/>
    <mergeCell ref="B913:B916"/>
    <mergeCell ref="B917:B920"/>
    <mergeCell ref="B921:B923"/>
    <mergeCell ref="B924:B926"/>
    <mergeCell ref="B887:B890"/>
    <mergeCell ref="B891:B893"/>
    <mergeCell ref="B894:B896"/>
    <mergeCell ref="B897:B899"/>
    <mergeCell ref="B900:B902"/>
    <mergeCell ref="B903:B906"/>
    <mergeCell ref="B860:B862"/>
    <mergeCell ref="B863:B868"/>
    <mergeCell ref="B869:B875"/>
    <mergeCell ref="B876:B879"/>
    <mergeCell ref="B880:B883"/>
    <mergeCell ref="B884:B886"/>
    <mergeCell ref="B835:B838"/>
    <mergeCell ref="B839:B842"/>
    <mergeCell ref="B843:B846"/>
    <mergeCell ref="B847:B851"/>
    <mergeCell ref="B852:B855"/>
    <mergeCell ref="B856:B859"/>
    <mergeCell ref="B813:B816"/>
    <mergeCell ref="B817:B820"/>
    <mergeCell ref="B821:B824"/>
    <mergeCell ref="B825:B827"/>
    <mergeCell ref="B828:B831"/>
    <mergeCell ref="B832:B834"/>
    <mergeCell ref="B777:B779"/>
    <mergeCell ref="B780:B782"/>
    <mergeCell ref="B783:B786"/>
    <mergeCell ref="B787:B803"/>
    <mergeCell ref="B804:B807"/>
    <mergeCell ref="B808:B812"/>
    <mergeCell ref="B744:B747"/>
    <mergeCell ref="B748:B752"/>
    <mergeCell ref="B753:B756"/>
    <mergeCell ref="B757:B760"/>
    <mergeCell ref="B761:B767"/>
    <mergeCell ref="B768:B776"/>
    <mergeCell ref="B704:B714"/>
    <mergeCell ref="B715:B727"/>
    <mergeCell ref="B728:B731"/>
    <mergeCell ref="B732:B735"/>
    <mergeCell ref="B736:B739"/>
    <mergeCell ref="B740:B743"/>
    <mergeCell ref="B669:B672"/>
    <mergeCell ref="B673:B688"/>
    <mergeCell ref="D688:M688"/>
    <mergeCell ref="B689:B695"/>
    <mergeCell ref="B696:B699"/>
    <mergeCell ref="B700:B703"/>
    <mergeCell ref="B634:B636"/>
    <mergeCell ref="B637:B639"/>
    <mergeCell ref="B640:B646"/>
    <mergeCell ref="B647:B648"/>
    <mergeCell ref="B649:B660"/>
    <mergeCell ref="B661:B668"/>
    <mergeCell ref="B600:B602"/>
    <mergeCell ref="B603:B617"/>
    <mergeCell ref="B618:B620"/>
    <mergeCell ref="B621:B623"/>
    <mergeCell ref="B624:B626"/>
    <mergeCell ref="B627:B633"/>
    <mergeCell ref="B562:B564"/>
    <mergeCell ref="B565:B567"/>
    <mergeCell ref="B568:B569"/>
    <mergeCell ref="B570:B571"/>
    <mergeCell ref="B572:B596"/>
    <mergeCell ref="B597:B599"/>
    <mergeCell ref="B515:B517"/>
    <mergeCell ref="B518:B520"/>
    <mergeCell ref="B521:B530"/>
    <mergeCell ref="B531:B554"/>
    <mergeCell ref="B555:B557"/>
    <mergeCell ref="B558:B561"/>
    <mergeCell ref="B479:B483"/>
    <mergeCell ref="B484:B489"/>
    <mergeCell ref="B490:B502"/>
    <mergeCell ref="B503:B508"/>
    <mergeCell ref="B509:B511"/>
    <mergeCell ref="B512:B514"/>
    <mergeCell ref="B446:B450"/>
    <mergeCell ref="B451:B453"/>
    <mergeCell ref="B454:B456"/>
    <mergeCell ref="B457:B460"/>
    <mergeCell ref="B461:B467"/>
    <mergeCell ref="B468:B478"/>
    <mergeCell ref="B413:B417"/>
    <mergeCell ref="B418:B421"/>
    <mergeCell ref="B422:B424"/>
    <mergeCell ref="B425:B434"/>
    <mergeCell ref="B435:B440"/>
    <mergeCell ref="B441:B445"/>
    <mergeCell ref="B387:B391"/>
    <mergeCell ref="B392:B395"/>
    <mergeCell ref="B396:B402"/>
    <mergeCell ref="D402:M402"/>
    <mergeCell ref="B403:B408"/>
    <mergeCell ref="B409:B412"/>
    <mergeCell ref="B359:B365"/>
    <mergeCell ref="B366:B368"/>
    <mergeCell ref="B369:B372"/>
    <mergeCell ref="B373:B378"/>
    <mergeCell ref="B379:B381"/>
    <mergeCell ref="B382:B386"/>
    <mergeCell ref="B320:B325"/>
    <mergeCell ref="B326:B338"/>
    <mergeCell ref="B339:B349"/>
    <mergeCell ref="B350:B352"/>
    <mergeCell ref="B353:B355"/>
    <mergeCell ref="B356:B358"/>
    <mergeCell ref="B297:B298"/>
    <mergeCell ref="B299:B304"/>
    <mergeCell ref="B305:B309"/>
    <mergeCell ref="B310:B312"/>
    <mergeCell ref="B313:B315"/>
    <mergeCell ref="B316:B319"/>
    <mergeCell ref="B243:B252"/>
    <mergeCell ref="B253:B261"/>
    <mergeCell ref="B262:B288"/>
    <mergeCell ref="B289:B291"/>
    <mergeCell ref="B292:B294"/>
    <mergeCell ref="B295:B296"/>
    <mergeCell ref="B189:B201"/>
    <mergeCell ref="B202:B211"/>
    <mergeCell ref="B212:B217"/>
    <mergeCell ref="B218:B226"/>
    <mergeCell ref="B227:B228"/>
    <mergeCell ref="B229:B242"/>
    <mergeCell ref="B129:B130"/>
    <mergeCell ref="B131:B160"/>
    <mergeCell ref="B161:B167"/>
    <mergeCell ref="B168:B169"/>
    <mergeCell ref="B170:B176"/>
    <mergeCell ref="B177:B188"/>
    <mergeCell ref="B78:B81"/>
    <mergeCell ref="B82:B86"/>
    <mergeCell ref="B87:B90"/>
    <mergeCell ref="B91:B95"/>
    <mergeCell ref="B96:B126"/>
    <mergeCell ref="B127:B128"/>
    <mergeCell ref="B4:B12"/>
    <mergeCell ref="B13:B26"/>
    <mergeCell ref="B27:B31"/>
    <mergeCell ref="B32:B58"/>
    <mergeCell ref="B59:B62"/>
    <mergeCell ref="B63:B77"/>
  </mergeCells>
  <phoneticPr fontId="5" type="noConversion"/>
  <pageMargins left="0.15748031496062992" right="0.15748031496062992" top="0.15748031496062992" bottom="0.23622047244094491" header="0.19685039370078741" footer="0.15748031496062992"/>
  <pageSetup paperSize="9" scale="38" fitToHeight="0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1월매출실적</vt:lpstr>
      <vt:lpstr>'1월매출실적'!Print_Titles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나영 윤</dc:creator>
  <cp:lastModifiedBy>나영 윤</cp:lastModifiedBy>
  <dcterms:created xsi:type="dcterms:W3CDTF">2026-01-20T07:57:31Z</dcterms:created>
  <dcterms:modified xsi:type="dcterms:W3CDTF">2026-01-20T07:57:46Z</dcterms:modified>
</cp:coreProperties>
</file>